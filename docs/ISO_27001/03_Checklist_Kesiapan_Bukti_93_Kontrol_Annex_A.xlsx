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6525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etunjuk" sheetId="2" state="visible" r:id="rId2"/>
    <sheet xmlns:r="http://schemas.openxmlformats.org/officeDocument/2006/relationships" name="Checklist 93 Kontrol" sheetId="3" state="visible" r:id="rId3"/>
    <sheet xmlns:r="http://schemas.openxmlformats.org/officeDocument/2006/relationships" name="Review Kesiapan" sheetId="4" state="visible" r:id="rId4"/>
    <sheet xmlns:r="http://schemas.openxmlformats.org/officeDocument/2006/relationships" name="Master Data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 mmm\ yyyy"/>
  </numFmts>
  <fonts count="7">
    <font>
      <name val="Carlito"/>
      <sz val="11"/>
    </font>
    <font>
      <name val="Arial"/>
      <color rgb="FF0F172A"/>
      <sz val="10"/>
    </font>
    <font>
      <name val="Arial"/>
      <b val="1"/>
      <color rgb="FFFFFFFF"/>
      <sz val="16"/>
    </font>
    <font>
      <name val="Arial"/>
      <b val="1"/>
      <color rgb="FF1E3A8A"/>
      <sz val="10"/>
    </font>
    <font>
      <name val="Arial"/>
      <b val="1"/>
      <color rgb="FFFFFFFF"/>
      <sz val="10"/>
    </font>
    <font>
      <name val="Arial"/>
      <b val="1"/>
      <color rgb="FF172554"/>
      <sz val="17"/>
    </font>
    <font>
      <name val="Arial"/>
      <b val="1"/>
      <color rgb="FF0F172A"/>
      <sz val="10"/>
    </font>
  </fonts>
  <fills count="8">
    <fill>
      <patternFill/>
    </fill>
    <fill>
      <patternFill patternType="gray125"/>
    </fill>
    <fill>
      <patternFill patternType="solid">
        <fgColor rgb="FF172554"/>
      </patternFill>
    </fill>
    <fill>
      <patternFill patternType="solid">
        <fgColor rgb="FFEFF6FF"/>
      </patternFill>
    </fill>
    <fill>
      <patternFill patternType="solid">
        <fgColor rgb="FF1E3A8A"/>
      </patternFill>
    </fill>
    <fill>
      <patternFill patternType="solid">
        <fgColor rgb="FFFFFBEB"/>
      </patternFill>
    </fill>
    <fill>
      <patternFill patternType="solid">
        <fgColor rgb="FFF8FAFC"/>
      </patternFill>
    </fill>
    <fill>
      <patternFill patternType="solid">
        <fgColor rgb="FF2563EB"/>
      </patternFill>
    </fill>
  </fills>
  <borders count="7">
    <border>
      <left/>
      <right/>
      <top/>
      <bottom/>
      <diagonal/>
    </border>
    <border>
      <left/>
      <right style="thin">
        <color rgb="FF93C5FD"/>
      </right>
      <top/>
      <bottom style="medium">
        <color rgb="FF2563EB"/>
      </bottom>
      <diagonal/>
    </border>
    <border>
      <left style="thin">
        <color rgb="FF93C5FD"/>
      </left>
      <right style="thin">
        <color rgb="FF93C5FD"/>
      </right>
      <top/>
      <bottom style="medium">
        <color rgb="FF2563EB"/>
      </bottom>
      <diagonal/>
    </border>
    <border>
      <left style="thin">
        <color rgb="FF93C5FD"/>
      </left>
      <right/>
      <top/>
      <bottom style="medium">
        <color rgb="FF2563EB"/>
      </bottom>
      <diagonal/>
    </border>
    <border>
      <left/>
      <right/>
      <top/>
      <bottom style="medium">
        <color rgb="FF2563EB"/>
      </bottom>
      <diagonal/>
    </border>
    <border>
      <left style="medium">
        <color rgb="FF2563EB"/>
      </left>
      <right/>
      <top/>
      <bottom/>
      <diagonal/>
    </border>
    <border>
      <left/>
      <right style="thin">
        <color rgb="FF93C5FD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164" fontId="1" fillId="5" borderId="0" applyAlignment="1" pivotButton="0" quotePrefix="0" xfId="0">
      <alignment vertical="center" wrapText="1"/>
    </xf>
    <xf numFmtId="164" fontId="1" fillId="6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9" fontId="1" fillId="6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7" borderId="0" applyAlignment="1" pivotButton="0" quotePrefix="0" xfId="0">
      <alignment horizontal="center" vertical="center"/>
    </xf>
    <xf numFmtId="1" fontId="5" fillId="3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9" fontId="5" fillId="3" borderId="4" applyAlignment="1" pivotButton="0" quotePrefix="0" xfId="0">
      <alignment horizontal="center" vertical="center"/>
    </xf>
    <xf numFmtId="0" fontId="6" fillId="5" borderId="5" applyAlignment="1" pivotButton="0" quotePrefix="0" xfId="0">
      <alignment vertical="center" wrapText="1"/>
    </xf>
    <xf numFmtId="0" fontId="6" fillId="5" borderId="0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</cellXfs>
  <cellStyles count="1">
    <cellStyle name="Normal" xfId="0" builtinId="0"/>
  </cellStyles>
  <dxfs count="9"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5B21B6"/>
      </font>
      <fill>
        <patternFill patternType="solid">
          <bgColor rgb="FFEDE9FE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Kesiapan dan tindakan per tema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Total</v>
          </tx>
          <spPr>
            <a:solidFill xmlns:a="http://schemas.openxmlformats.org/drawingml/2006/main">
              <a:srgbClr val="CBD5E1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Dashboard!$B$19:$B$22</f>
              <strCache>
                <ptCount val="4"/>
                <pt idx="0">
                  <v>Organizational</v>
                </pt>
                <pt idx="1">
                  <v>People</v>
                </pt>
                <pt idx="2">
                  <v>Physical</v>
                </pt>
                <pt idx="3">
                  <v>Technological</v>
                </pt>
              </strCache>
            </strRef>
          </cat>
          <val>
            <numRef>
              <f>Dashboard!$C$19:$C$22</f>
              <numCache>
                <formatCode>General</formatCode>
                <ptCount val="4"/>
                <pt idx="0">
                  <v>37</v>
                </pt>
                <pt idx="1">
                  <v>8</v>
                </pt>
                <pt idx="2">
                  <v>14</v>
                </pt>
                <pt idx="3">
                  <v>34</v>
                </pt>
              </numCache>
            </numRef>
          </val>
        </ser>
        <ser>
          <idx val="1"/>
          <order val="1"/>
          <tx>
            <v>Relevansi diputuskan</v>
          </tx>
          <spPr>
            <a:solidFill xmlns:a="http://schemas.openxmlformats.org/drawingml/2006/main">
              <a:srgbClr val="93C5FD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Dashboard!$B$19:$B$22</f>
              <strCache>
                <ptCount val="4"/>
                <pt idx="0">
                  <v>Organizational</v>
                </pt>
                <pt idx="1">
                  <v>People</v>
                </pt>
                <pt idx="2">
                  <v>Physical</v>
                </pt>
                <pt idx="3">
                  <v>Technological</v>
                </pt>
              </strCache>
            </strRef>
          </cat>
          <val>
            <numRef>
              <f>Dashboard!$D$19:$D$22</f>
              <numCache>
                <formatCode>General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2"/>
          <order val="2"/>
          <tx>
            <v>Siap</v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Dashboard!$B$19:$B$22</f>
              <strCache>
                <ptCount val="4"/>
                <pt idx="0">
                  <v>Organizational</v>
                </pt>
                <pt idx="1">
                  <v>People</v>
                </pt>
                <pt idx="2">
                  <v>Physical</v>
                </pt>
                <pt idx="3">
                  <v>Technological</v>
                </pt>
              </strCache>
            </strRef>
          </cat>
          <val>
            <numRef>
              <f>Dashboard!$E$19:$E$22</f>
              <numCache>
                <formatCode>General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3"/>
          <order val="3"/>
          <tx>
            <v>Perlu tindakan</v>
          </tx>
          <spPr>
            <a:solidFill xmlns:a="http://schemas.openxmlformats.org/drawingml/2006/main">
              <a:srgbClr val="DC2626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Dashboard!$B$19:$B$22</f>
              <strCache>
                <ptCount val="4"/>
                <pt idx="0">
                  <v>Organizational</v>
                </pt>
                <pt idx="1">
                  <v>People</v>
                </pt>
                <pt idx="2">
                  <v>Physical</v>
                </pt>
                <pt idx="3">
                  <v>Technological</v>
                </pt>
              </strCache>
            </strRef>
          </cat>
          <val>
            <numRef>
              <f>Dashboard!$F$19:$F$22</f>
              <numCache>
                <formatCode>General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48672768"/>
        <crosses val="autoZero"/>
        <auto val="1"/>
        <lblAlgn val="ctr"/>
        <lblOffset val="100"/>
        <noMultiLvlLbl val="1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" sourceLinked="0"/>
        <majorTickMark val="none"/>
        <minorTickMark val="none"/>
        <tickLblPos val="nextTo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8</col>
      <colOff>0</colOff>
      <row>17</row>
      <rowOff>0</rowOff>
    </from>
    <to>
      <col>14</col>
      <colOff>0</colOff>
      <row>34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AnnexA93Checklist" displayName="AnnexA93Checklist" ref="B6:Z99" headerRowCount="1" totalsRowShown="0">
  <tableColumns count="25">
    <tableColumn id="1" name="Kontrol"/>
    <tableColumn id="2" name="Tema"/>
    <tableColumn id="3" name="Judul kontrol"/>
    <tableColumn id="4" name="Fokus pemeriksaan"/>
    <tableColumn id="5" name="Contoh bukti objektif"/>
    <tableColumn id="6" name="Relevansi SoA"/>
    <tableColumn id="7" name="Justifikasi relevansi"/>
    <tableColumn id="8" name="Status implementasi"/>
    <tableColumn id="9" name="Ketersediaan bukti"/>
    <tableColumn id="10" name="Evidence ID / URL"/>
    <tableColumn id="11" name="PIC"/>
    <tableColumn id="12" name="Review terakhir"/>
    <tableColumn id="13" name="Review berikutnya"/>
    <tableColumn id="14" name="Desain kontrol"/>
    <tableColumn id="15" name="Efektivitas operasional"/>
    <tableColumn id="16" name="Catatan / gap"/>
    <tableColumn id="17" name="Tindakan perbaikan"/>
    <tableColumn id="18" name="Prioritas"/>
    <tableColumn id="19" name="Target"/>
    <tableColumn id="20" name="Reviewer"/>
    <tableColumn id="21" name="Tanggal validasi"/>
    <tableColumn id="22" name="Pemeriksaan field"/>
    <tableColumn id="23" name="Kesiapan"/>
    <tableColumn id="24" name="Deadline"/>
    <tableColumn id="25" name="Perlu tindaka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adinessReview" displayName="ReadinessReview" ref="B6:M99" headerRowCount="1" totalsRowShown="0">
  <tableColumns count="12">
    <tableColumn id="1" name="Kontrol"/>
    <tableColumn id="2" name="Tema"/>
    <tableColumn id="3" name="Judul kontrol"/>
    <tableColumn id="4" name="Relevansi"/>
    <tableColumn id="5" name="Implementasi"/>
    <tableColumn id="6" name="Bukti"/>
    <tableColumn id="7" name="Kesiapan"/>
    <tableColumn id="8" name="Deadline"/>
    <tableColumn id="9" name="PIC"/>
    <tableColumn id="10" name="Prioritas"/>
    <tableColumn id="11" name="Target"/>
    <tableColumn id="12" name="Perlu tindak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FF172554"/>
    <outlinePr summaryBelow="1" summaryRight="1"/>
    <pageSetUpPr/>
  </sheetPr>
  <dimension ref="A1:N44"/>
  <sheetViews>
    <sheetView showGridLines="0" tabSelected="1" workbookViewId="0">
      <selection activeCell="A1" sqref="A1"/>
    </sheetView>
  </sheetViews>
  <sheetFormatPr baseColWidth="8" defaultRowHeight="14.25"/>
  <cols>
    <col width="3" customWidth="1" min="1" max="1"/>
    <col width="18" customWidth="1" min="2" max="2"/>
    <col width="22" customWidth="1" min="3" max="3"/>
    <col width="12" customWidth="1" min="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6" customHeight="1">
      <c r="A2" s="1" t="n"/>
      <c r="B2" s="18" t="inlineStr">
        <is>
          <t>ANNEX A READINESS DASHBOARD</t>
        </is>
      </c>
    </row>
    <row r="3" ht="24.95" customHeight="1">
      <c r="A3" s="1" t="n"/>
      <c r="B3" s="19" t="inlineStr">
        <is>
          <t>Ringkasan kesiapan 93 kontrol ISO/IEC 27001:2022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20">
        <f>'Master Data'!C6</f>
        <v/>
      </c>
      <c r="G5" s="20" t="n"/>
      <c r="H5" s="20" t="n"/>
      <c r="I5" s="20" t="n"/>
      <c r="J5" s="20" t="n"/>
      <c r="K5" s="21">
        <f>'Master Data'!C9</f>
        <v/>
      </c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 ht="27" customHeight="1">
      <c r="A7" s="1" t="n"/>
      <c r="B7" s="22" t="inlineStr">
        <is>
          <t>TOTAL KONTROL</t>
        </is>
      </c>
      <c r="E7" s="1" t="n"/>
      <c r="F7" s="22" t="inlineStr">
        <is>
          <t>BELUM DINILAI</t>
        </is>
      </c>
      <c r="I7" s="1" t="n"/>
      <c r="J7" s="22" t="inlineStr">
        <is>
          <t>SIAP</t>
        </is>
      </c>
      <c r="M7" s="1" t="n"/>
      <c r="N7" s="1" t="n"/>
    </row>
    <row r="8" ht="38.1" customHeight="1">
      <c r="A8" s="1" t="n"/>
      <c r="B8" s="23">
        <f>COUNTA('Checklist 93 Kontrol'!B7:B99)</f>
        <v/>
      </c>
      <c r="C8" s="33" t="n"/>
      <c r="D8" s="33" t="n"/>
      <c r="E8" s="1" t="n"/>
      <c r="F8" s="23">
        <f>COUNTIFS('Checklist 93 Kontrol'!X7:X99,"Belum dinilai")</f>
        <v/>
      </c>
      <c r="G8" s="33" t="n"/>
      <c r="H8" s="33" t="n"/>
      <c r="I8" s="1" t="n"/>
      <c r="J8" s="23">
        <f>COUNTIFS('Checklist 93 Kontrol'!X7:X99,"Siap")</f>
        <v/>
      </c>
      <c r="K8" s="33" t="n"/>
      <c r="L8" s="33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 ht="27" customHeight="1">
      <c r="A10" s="1" t="n"/>
      <c r="B10" s="22" t="inlineStr">
        <is>
          <t>BERLAKU</t>
        </is>
      </c>
      <c r="E10" s="1" t="n"/>
      <c r="F10" s="22" t="inlineStr">
        <is>
          <t>PERLU TINDAKAN</t>
        </is>
      </c>
      <c r="I10" s="1" t="n"/>
      <c r="J10" s="22" t="inlineStr">
        <is>
          <t>KESIAPAN KONTROL BERLAKU</t>
        </is>
      </c>
      <c r="M10" s="1" t="n"/>
      <c r="N10" s="1" t="n"/>
    </row>
    <row r="11" ht="38.1" customHeight="1">
      <c r="A11" s="1" t="n"/>
      <c r="B11" s="23">
        <f>COUNTIFS('Checklist 93 Kontrol'!G7:G99,"Berlaku")</f>
        <v/>
      </c>
      <c r="C11" s="33" t="n"/>
      <c r="D11" s="33" t="n"/>
      <c r="E11" s="1" t="n"/>
      <c r="F11" s="23">
        <f>COUNTIFS('Checklist 93 Kontrol'!Z7:Z99,"Ya")</f>
        <v/>
      </c>
      <c r="G11" s="33" t="n"/>
      <c r="H11" s="33" t="n"/>
      <c r="I11" s="1" t="n"/>
      <c r="J11" s="25">
        <f>IF(B11=0,"Belum ada data",J8/B11)</f>
        <v/>
      </c>
      <c r="K11" s="33" t="n"/>
      <c r="L11" s="33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 ht="27" customHeight="1">
      <c r="A14" s="1" t="n"/>
      <c r="B14" s="26">
        <f>IF(F8=93,"Assessment belum dimulai. Tentukan relevansi setiap kontrol pada Checklist 93 Kontrol.",IF(F11&gt;0,"Masih ada kontrol yang memerlukan tindakan atau review jadwal.",IF(F8&gt;0,"Assessment belum lengkap. Lanjutkan kontrol yang belum dinilai.","Seluruh kontrol telah dinilai tanpa action terbuka. Lanjutkan review substantif auditor.")))</f>
        <v/>
      </c>
      <c r="M14" s="1" t="n"/>
      <c r="N14" s="1" t="n"/>
    </row>
    <row r="15" ht="27" customHeight="1">
      <c r="A15" s="1" t="n"/>
      <c r="B15" s="34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 ht="44.1" customHeight="1">
      <c r="A18" s="1" t="n"/>
      <c r="B18" s="28" t="inlineStr">
        <is>
          <t>Tema</t>
        </is>
      </c>
      <c r="C18" s="29" t="inlineStr">
        <is>
          <t>Total</t>
        </is>
      </c>
      <c r="D18" s="29" t="inlineStr">
        <is>
          <t>Relevansi diputuskan</t>
        </is>
      </c>
      <c r="E18" s="29" t="inlineStr">
        <is>
          <t>Siap</t>
        </is>
      </c>
      <c r="F18" s="29" t="inlineStr">
        <is>
          <t>Perlu tindakan</t>
        </is>
      </c>
      <c r="G18" s="30" t="inlineStr">
        <is>
          <t>Kesiapan berlaku</t>
        </is>
      </c>
      <c r="H18" s="1" t="n"/>
      <c r="I18" s="1" t="n"/>
      <c r="J18" s="1" t="n"/>
      <c r="K18" s="1" t="n"/>
      <c r="L18" s="1" t="n"/>
      <c r="M18" s="1" t="n"/>
      <c r="N18" s="1" t="n"/>
    </row>
    <row r="19" ht="30" customHeight="1">
      <c r="A19" s="1" t="n"/>
      <c r="B19" s="10" t="inlineStr">
        <is>
          <t>Organizational</t>
        </is>
      </c>
      <c r="C19" s="10" t="n">
        <v>37</v>
      </c>
      <c r="D19" s="10">
        <f>COUNTIFS('Checklist 93 Kontrol'!C7:C99,B19,'Checklist 93 Kontrol'!G7:G99,"&lt;&gt;Belum ditentukan")</f>
        <v/>
      </c>
      <c r="E19" s="10">
        <f>COUNTIFS('Checklist 93 Kontrol'!C7:C99,B19,'Checklist 93 Kontrol'!X7:X99,"Siap")</f>
        <v/>
      </c>
      <c r="F19" s="10">
        <f>COUNTIFS('Checklist 93 Kontrol'!C7:C99,B19,'Checklist 93 Kontrol'!Z7:Z99,"Ya")</f>
        <v/>
      </c>
      <c r="G19" s="17">
        <f>IF(COUNTIFS('Checklist 93 Kontrol'!C7:C99,B19,'Checklist 93 Kontrol'!G7:G99,"Berlaku")=0,"",E19/COUNTIFS('Checklist 93 Kontrol'!C7:C99,B19,'Checklist 93 Kontrol'!G7:G99,"Berlaku"))</f>
        <v/>
      </c>
      <c r="H19" s="1" t="n"/>
      <c r="I19" s="1" t="n"/>
      <c r="J19" s="1" t="n"/>
      <c r="K19" s="1" t="n"/>
      <c r="L19" s="1" t="n"/>
      <c r="M19" s="1" t="n"/>
      <c r="N19" s="1" t="n"/>
    </row>
    <row r="20" ht="30" customHeight="1">
      <c r="A20" s="1" t="n"/>
      <c r="B20" s="10" t="inlineStr">
        <is>
          <t>People</t>
        </is>
      </c>
      <c r="C20" s="10" t="n">
        <v>8</v>
      </c>
      <c r="D20" s="10">
        <f>COUNTIFS('Checklist 93 Kontrol'!C7:C99,B20,'Checklist 93 Kontrol'!G7:G99,"&lt;&gt;Belum ditentukan")</f>
        <v/>
      </c>
      <c r="E20" s="10">
        <f>COUNTIFS('Checklist 93 Kontrol'!C7:C99,B20,'Checklist 93 Kontrol'!X7:X99,"Siap")</f>
        <v/>
      </c>
      <c r="F20" s="10">
        <f>COUNTIFS('Checklist 93 Kontrol'!C7:C99,B20,'Checklist 93 Kontrol'!Z7:Z99,"Ya")</f>
        <v/>
      </c>
      <c r="G20" s="17">
        <f>IF(COUNTIFS('Checklist 93 Kontrol'!C7:C99,B20,'Checklist 93 Kontrol'!G7:G99,"Berlaku")=0,"",E20/COUNTIFS('Checklist 93 Kontrol'!C7:C99,B20,'Checklist 93 Kontrol'!G7:G99,"Berlaku"))</f>
        <v/>
      </c>
      <c r="H20" s="1" t="n"/>
      <c r="I20" s="1" t="n"/>
      <c r="J20" s="1" t="n"/>
      <c r="K20" s="1" t="n"/>
      <c r="L20" s="1" t="n"/>
      <c r="M20" s="1" t="n"/>
      <c r="N20" s="1" t="n"/>
    </row>
    <row r="21" ht="30" customHeight="1">
      <c r="A21" s="1" t="n"/>
      <c r="B21" s="10" t="inlineStr">
        <is>
          <t>Physical</t>
        </is>
      </c>
      <c r="C21" s="10" t="n">
        <v>14</v>
      </c>
      <c r="D21" s="10">
        <f>COUNTIFS('Checklist 93 Kontrol'!C7:C99,B21,'Checklist 93 Kontrol'!G7:G99,"&lt;&gt;Belum ditentukan")</f>
        <v/>
      </c>
      <c r="E21" s="10">
        <f>COUNTIFS('Checklist 93 Kontrol'!C7:C99,B21,'Checklist 93 Kontrol'!X7:X99,"Siap")</f>
        <v/>
      </c>
      <c r="F21" s="10">
        <f>COUNTIFS('Checklist 93 Kontrol'!C7:C99,B21,'Checklist 93 Kontrol'!Z7:Z99,"Ya")</f>
        <v/>
      </c>
      <c r="G21" s="17">
        <f>IF(COUNTIFS('Checklist 93 Kontrol'!C7:C99,B21,'Checklist 93 Kontrol'!G7:G99,"Berlaku")=0,"",E21/COUNTIFS('Checklist 93 Kontrol'!C7:C99,B21,'Checklist 93 Kontrol'!G7:G99,"Berlaku"))</f>
        <v/>
      </c>
      <c r="H21" s="1" t="n"/>
      <c r="I21" s="1" t="n"/>
      <c r="J21" s="1" t="n"/>
      <c r="K21" s="1" t="n"/>
      <c r="L21" s="1" t="n"/>
      <c r="M21" s="1" t="n"/>
      <c r="N21" s="1" t="n"/>
    </row>
    <row r="22" ht="30" customHeight="1">
      <c r="A22" s="1" t="n"/>
      <c r="B22" s="10" t="inlineStr">
        <is>
          <t>Technological</t>
        </is>
      </c>
      <c r="C22" s="10" t="n">
        <v>34</v>
      </c>
      <c r="D22" s="10">
        <f>COUNTIFS('Checklist 93 Kontrol'!C7:C99,B22,'Checklist 93 Kontrol'!G7:G99,"&lt;&gt;Belum ditentukan")</f>
        <v/>
      </c>
      <c r="E22" s="10">
        <f>COUNTIFS('Checklist 93 Kontrol'!C7:C99,B22,'Checklist 93 Kontrol'!X7:X99,"Siap")</f>
        <v/>
      </c>
      <c r="F22" s="10">
        <f>COUNTIFS('Checklist 93 Kontrol'!C7:C99,B22,'Checklist 93 Kontrol'!Z7:Z99,"Ya")</f>
        <v/>
      </c>
      <c r="G22" s="17">
        <f>IF(COUNTIFS('Checklist 93 Kontrol'!C7:C99,B22,'Checklist 93 Kontrol'!G7:G99,"Berlaku")=0,"",E22/COUNTIFS('Checklist 93 Kontrol'!C7:C99,B22,'Checklist 93 Kontrol'!G7:G99,"Berlaku"))</f>
        <v/>
      </c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 ht="44.1" customHeight="1">
      <c r="A26" s="1" t="n"/>
      <c r="B26" s="28" t="inlineStr">
        <is>
          <t>Status kesiapan</t>
        </is>
      </c>
      <c r="C26" s="33" t="n"/>
      <c r="D26" s="33" t="n"/>
      <c r="E26" s="33" t="n"/>
      <c r="F26" s="35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 ht="27.95" customHeight="1">
      <c r="A27" s="1" t="n"/>
      <c r="B27" s="10" t="inlineStr">
        <is>
          <t>Siap</t>
        </is>
      </c>
      <c r="C27" s="10">
        <f>COUNTIFS('Checklist 93 Kontrol'!X7:X99,"Siap")</f>
        <v/>
      </c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 ht="27.95" customHeight="1">
      <c r="A28" s="1" t="n"/>
      <c r="B28" s="10" t="inlineStr">
        <is>
          <t>Belum siap</t>
        </is>
      </c>
      <c r="C28" s="10">
        <f>COUNTIFS('Checklist 93 Kontrol'!X7:X99,"Belum siap")</f>
        <v/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 ht="27.95" customHeight="1">
      <c r="A29" s="1" t="n"/>
      <c r="B29" s="10" t="inlineStr">
        <is>
          <t>Dikecualikan</t>
        </is>
      </c>
      <c r="C29" s="10">
        <f>COUNTIFS('Checklist 93 Kontrol'!X7:X99,"Dikecualikan")</f>
        <v/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 ht="27.95" customHeight="1">
      <c r="A30" s="1" t="n"/>
      <c r="B30" s="10" t="inlineStr">
        <is>
          <t>Belum dinilai</t>
        </is>
      </c>
      <c r="C30" s="10">
        <f>COUNTIFS('Checklist 93 Kontrol'!X7:X99,"Belum dinilai")</f>
        <v/>
      </c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 ht="42" customHeight="1">
      <c r="A35" s="1" t="n"/>
      <c r="B35" s="2" t="inlineStr">
        <is>
          <t>Catatan metodologi</t>
        </is>
      </c>
      <c r="C35" s="31" t="inlineStr">
        <is>
          <t>Kesiapan % = kontrol berstatus Siap ÷ kontrol yang ditetapkan Berlaku. Kontrol Tidak berlaku tidak masuk penyebut.</t>
        </is>
      </c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2" t="inlineStr">
        <is>
          <t>Navigasi</t>
        </is>
      </c>
      <c r="C38" s="19" t="inlineStr">
        <is>
          <t>Petunjuk → Checklist 93 Kontrol → Review Kesiapan</t>
        </is>
      </c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</sheetData>
  <mergeCells count="20">
    <mergeCell ref="B11:D11"/>
    <mergeCell ref="B8:D8"/>
    <mergeCell ref="F8:H8"/>
    <mergeCell ref="C38:L38"/>
    <mergeCell ref="J11:L11"/>
    <mergeCell ref="B10:D10"/>
    <mergeCell ref="J7:L7"/>
    <mergeCell ref="B3:N3"/>
    <mergeCell ref="K5:N5"/>
    <mergeCell ref="C35:L35"/>
    <mergeCell ref="J8:L8"/>
    <mergeCell ref="B26:F26"/>
    <mergeCell ref="B7:D7"/>
    <mergeCell ref="B2:N2"/>
    <mergeCell ref="F11:H11"/>
    <mergeCell ref="F10:H10"/>
    <mergeCell ref="J10:L10"/>
    <mergeCell ref="B5:F5"/>
    <mergeCell ref="F7:H7"/>
    <mergeCell ref="B14:L15"/>
  </mergeCells>
  <conditionalFormatting sqref="G19:G22">
    <cfRule type="dataBar" priority="1">
      <dataBar>
        <cfvo type="num" val="0"/>
        <cfvo type="num" val="1"/>
        <color rgb="FF2563EB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2563EB"/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4.25"/>
  <cols>
    <col width="3" customWidth="1" min="1" max="1"/>
    <col width="29" customWidth="1" min="2" max="2"/>
    <col width="105" customWidth="1" min="3" max="3"/>
    <col width="20" customWidth="1" min="4" max="6"/>
  </cols>
  <sheetData>
    <row r="1">
      <c r="A1" s="1" t="n"/>
      <c r="B1" s="1" t="n"/>
      <c r="C1" s="1" t="n"/>
      <c r="D1" s="1" t="n"/>
      <c r="E1" s="1" t="n"/>
      <c r="F1" s="1" t="n"/>
    </row>
    <row r="2" ht="36" customHeight="1">
      <c r="A2" s="1" t="n"/>
      <c r="B2" s="18" t="inlineStr">
        <is>
          <t>PANDUAN PENGGUNAAN</t>
        </is>
      </c>
    </row>
    <row r="3" ht="24.95" customHeight="1">
      <c r="A3" s="1" t="n"/>
      <c r="B3" s="19" t="inlineStr">
        <is>
          <t>Cara menggunakan checklist tanpa mengaburkan keputusan SoA dan hasil audit</t>
        </is>
      </c>
    </row>
    <row r="4">
      <c r="A4" s="1" t="n"/>
      <c r="B4" s="1" t="n"/>
      <c r="C4" s="1" t="n"/>
      <c r="D4" s="1" t="n"/>
      <c r="E4" s="1" t="n"/>
      <c r="F4" s="1" t="n"/>
    </row>
    <row r="5">
      <c r="A5" s="1" t="n"/>
      <c r="B5" s="1" t="n"/>
      <c r="C5" s="1" t="n"/>
      <c r="D5" s="1" t="n"/>
      <c r="E5" s="1" t="n"/>
      <c r="F5" s="1" t="n"/>
    </row>
    <row r="6" ht="45.95" customHeight="1">
      <c r="A6" s="1" t="n"/>
      <c r="B6" s="2" t="inlineStr">
        <is>
          <t>01. Isi profil</t>
        </is>
      </c>
      <c r="C6" s="31" t="inlineStr">
        <is>
          <t>Lengkapi profil dan tanggal acuan pada Master Data. Tanggal acuan menjadi cut-off indikator deadline.</t>
        </is>
      </c>
    </row>
    <row r="7">
      <c r="A7" s="1" t="n"/>
      <c r="B7" s="1" t="n"/>
      <c r="C7" s="1" t="n"/>
      <c r="D7" s="1" t="n"/>
      <c r="E7" s="1" t="n"/>
      <c r="F7" s="1" t="n"/>
    </row>
    <row r="8" ht="45.95" customHeight="1">
      <c r="A8" s="1" t="n"/>
      <c r="B8" s="2" t="inlineStr">
        <is>
          <t>02. Tentukan relevansi</t>
        </is>
      </c>
      <c r="C8" s="32" t="inlineStr">
        <is>
          <t>Nilai setiap kontrol sebagai Berlaku atau Tidak berlaku berdasarkan risiko, ruang lingkup, dan SoA organisasi.</t>
        </is>
      </c>
    </row>
    <row r="9">
      <c r="A9" s="1" t="n"/>
      <c r="B9" s="1" t="n"/>
      <c r="C9" s="1" t="n"/>
      <c r="D9" s="1" t="n"/>
      <c r="E9" s="1" t="n"/>
      <c r="F9" s="1" t="n"/>
    </row>
    <row r="10" ht="45.95" customHeight="1">
      <c r="A10" s="1" t="n"/>
      <c r="B10" s="2" t="inlineStr">
        <is>
          <t>03. Catat justifikasi</t>
        </is>
      </c>
      <c r="C10" s="31" t="inlineStr">
        <is>
          <t>Untuk Tidak berlaku, tulis alasan yang spesifik. Checklist tidak menggantikan Statement of Applicability resmi.</t>
        </is>
      </c>
    </row>
    <row r="11">
      <c r="A11" s="1" t="n"/>
      <c r="B11" s="1" t="n"/>
      <c r="C11" s="1" t="n"/>
      <c r="D11" s="1" t="n"/>
      <c r="E11" s="1" t="n"/>
      <c r="F11" s="1" t="n"/>
    </row>
    <row r="12" ht="45.95" customHeight="1">
      <c r="A12" s="1" t="n"/>
      <c r="B12" s="2" t="inlineStr">
        <is>
          <t>04. Nilai implementasi</t>
        </is>
      </c>
      <c r="C12" s="32" t="inlineStr">
        <is>
          <t>Untuk kontrol Berlaku, isi implementasi, ketersediaan bukti, desain kontrol, dan efektivitas operasional.</t>
        </is>
      </c>
    </row>
    <row r="13">
      <c r="A13" s="1" t="n"/>
      <c r="B13" s="1" t="n"/>
      <c r="C13" s="1" t="n"/>
      <c r="D13" s="1" t="n"/>
      <c r="E13" s="1" t="n"/>
      <c r="F13" s="1" t="n"/>
    </row>
    <row r="14" ht="45.95" customHeight="1">
      <c r="A14" s="1" t="n"/>
      <c r="B14" s="2" t="inlineStr">
        <is>
          <t>05. Hubungkan bukti</t>
        </is>
      </c>
      <c r="C14" s="31" t="inlineStr">
        <is>
          <t>Gunakan Evidence ID atau tautan restricted-access agar kontrol dapat ditelusuri ke Master Audit Evidence Index.</t>
        </is>
      </c>
    </row>
    <row r="15">
      <c r="A15" s="1" t="n"/>
      <c r="B15" s="1" t="n"/>
      <c r="C15" s="1" t="n"/>
      <c r="D15" s="1" t="n"/>
      <c r="E15" s="1" t="n"/>
      <c r="F15" s="1" t="n"/>
    </row>
    <row r="16" ht="45.95" customHeight="1">
      <c r="A16" s="1" t="n"/>
      <c r="B16" s="2" t="inlineStr">
        <is>
          <t>06. Validasi</t>
        </is>
      </c>
      <c r="C16" s="32" t="inlineStr">
        <is>
          <t>Isi reviewer dan tanggal validasi. Status Siap hanya muncul bila penerapan dan bukti memenuhi seluruh gate.</t>
        </is>
      </c>
    </row>
    <row r="17">
      <c r="A17" s="1" t="n"/>
      <c r="B17" s="1" t="n"/>
      <c r="C17" s="1" t="n"/>
      <c r="D17" s="1" t="n"/>
      <c r="E17" s="1" t="n"/>
      <c r="F17" s="1" t="n"/>
    </row>
    <row r="18" ht="45.95" customHeight="1">
      <c r="A18" s="1" t="n"/>
      <c r="B18" s="2" t="inlineStr">
        <is>
          <t>07. Jadwalkan review</t>
        </is>
      </c>
      <c r="C18" s="31" t="inlineStr">
        <is>
          <t>Isi Review berikutnya, termasuk untuk kontrol Tidak berlaku agar keputusan relevansi ditinjau ulang.</t>
        </is>
      </c>
    </row>
    <row r="19">
      <c r="A19" s="1" t="n"/>
      <c r="B19" s="1" t="n"/>
      <c r="C19" s="1" t="n"/>
      <c r="D19" s="1" t="n"/>
      <c r="E19" s="1" t="n"/>
      <c r="F19" s="1" t="n"/>
    </row>
    <row r="20" ht="45.95" customHeight="1">
      <c r="A20" s="1" t="n"/>
      <c r="B20" s="2" t="inlineStr">
        <is>
          <t>08. Tindak lanjuti gap</t>
        </is>
      </c>
      <c r="C20" s="32" t="inlineStr">
        <is>
          <t>Isi catatan, tindakan, prioritas, PIC, dan target. Gunakan Review Kesiapan untuk menyaring action terbuka.</t>
        </is>
      </c>
    </row>
    <row r="21">
      <c r="A21" s="1" t="n"/>
      <c r="B21" s="1" t="n"/>
      <c r="C21" s="1" t="n"/>
      <c r="D21" s="1" t="n"/>
      <c r="E21" s="1" t="n"/>
      <c r="F21" s="1" t="n"/>
    </row>
    <row r="22" ht="45.95" customHeight="1">
      <c r="A22" s="1" t="n"/>
      <c r="B22" s="2" t="inlineStr">
        <is>
          <t>Sel krem</t>
        </is>
      </c>
      <c r="C22" s="31" t="inlineStr">
        <is>
          <t>Input pengguna. Sel biru muda adalah formula. Kolom identitas kontrol berwarna netral dan tidak perlu diedit.</t>
        </is>
      </c>
    </row>
    <row r="23">
      <c r="A23" s="1" t="n"/>
      <c r="B23" s="1" t="n"/>
      <c r="C23" s="1" t="n"/>
      <c r="D23" s="1" t="n"/>
      <c r="E23" s="1" t="n"/>
      <c r="F23" s="1" t="n"/>
    </row>
    <row r="24" ht="45.95" customHeight="1">
      <c r="A24" s="1" t="n"/>
      <c r="B24" s="2" t="inlineStr">
        <is>
          <t>Status Siap</t>
        </is>
      </c>
      <c r="C24" s="32" t="inlineStr">
        <is>
          <t>Pemeriksaan kelengkapan internal, bukan opini auditor atau jaminan lulus sertifikasi.</t>
        </is>
      </c>
    </row>
    <row r="25">
      <c r="A25" s="1" t="n"/>
      <c r="B25" s="1" t="n"/>
      <c r="C25" s="1" t="n"/>
      <c r="D25" s="1" t="n"/>
      <c r="E25" s="1" t="n"/>
      <c r="F25" s="1" t="n"/>
    </row>
    <row r="26" ht="45.95" customHeight="1">
      <c r="A26" s="1" t="n"/>
      <c r="B26" s="2" t="inlineStr">
        <is>
          <t>Kontrol Tidak berlaku</t>
        </is>
      </c>
      <c r="C26" s="31" t="inlineStr">
        <is>
          <t>Baru dianggap Dikecualikan bila justifikasi, reviewer, dan tanggal validasi lengkap.</t>
        </is>
      </c>
    </row>
    <row r="27">
      <c r="A27" s="1" t="n"/>
      <c r="B27" s="1" t="n"/>
      <c r="C27" s="1" t="n"/>
      <c r="D27" s="1" t="n"/>
      <c r="E27" s="1" t="n"/>
      <c r="F27" s="1" t="n"/>
    </row>
    <row r="28" ht="45.95" customHeight="1">
      <c r="A28" s="1" t="n"/>
      <c r="B28" s="2" t="inlineStr">
        <is>
          <t>Keamanan informasi</t>
        </is>
      </c>
      <c r="C28" s="32" t="inlineStr">
        <is>
          <t>Jangan tempel password, token, private key, atau data sensitif. Gunakan tautan dengan akses minimum.</t>
        </is>
      </c>
    </row>
    <row r="29">
      <c r="A29" s="1" t="n"/>
      <c r="B29" s="1" t="n"/>
      <c r="C29" s="1" t="n"/>
      <c r="D29" s="1" t="n"/>
      <c r="E29" s="1" t="n"/>
      <c r="F29" s="1" t="n"/>
    </row>
    <row r="30" ht="45.95" customHeight="1">
      <c r="A30" s="1" t="n"/>
      <c r="B30" s="2" t="inlineStr">
        <is>
          <t>Referensi standar</t>
        </is>
      </c>
      <c r="C30" s="31" t="inlineStr">
        <is>
          <t>Gunakan bersama ISO/IEC 27001:2022 berlisensi. Ringkasan kontrol dibuat untuk workflow, bukan pengganti teks standar.</t>
        </is>
      </c>
    </row>
    <row r="31">
      <c r="A31" s="1" t="n"/>
      <c r="B31" s="1" t="n"/>
      <c r="C31" s="1" t="n"/>
      <c r="D31" s="1" t="n"/>
      <c r="E31" s="1" t="n"/>
      <c r="F31" s="1" t="n"/>
    </row>
    <row r="32">
      <c r="A32" s="1" t="n"/>
      <c r="B32" s="1" t="n"/>
      <c r="C32" s="1" t="n"/>
      <c r="D32" s="1" t="n"/>
      <c r="E32" s="1" t="n"/>
      <c r="F32" s="1" t="n"/>
    </row>
    <row r="33">
      <c r="A33" s="1" t="n"/>
      <c r="B33" s="1" t="n"/>
      <c r="C33" s="1" t="n"/>
      <c r="D33" s="1" t="n"/>
      <c r="E33" s="1" t="n"/>
      <c r="F33" s="1" t="n"/>
    </row>
    <row r="34">
      <c r="A34" s="1" t="n"/>
      <c r="B34" s="1" t="n"/>
      <c r="C34" s="1" t="n"/>
      <c r="D34" s="1" t="n"/>
      <c r="E34" s="1" t="n"/>
      <c r="F34" s="1" t="n"/>
    </row>
    <row r="35">
      <c r="A35" s="1" t="n"/>
      <c r="B35" s="1" t="n"/>
      <c r="C35" s="1" t="n"/>
      <c r="D35" s="1" t="n"/>
      <c r="E35" s="1" t="n"/>
      <c r="F35" s="1" t="n"/>
    </row>
    <row r="36">
      <c r="A36" s="1" t="n"/>
      <c r="B36" s="1" t="n"/>
      <c r="C36" s="1" t="n"/>
      <c r="D36" s="1" t="n"/>
      <c r="E36" s="1" t="n"/>
      <c r="F36" s="1" t="n"/>
    </row>
    <row r="37">
      <c r="A37" s="1" t="n"/>
      <c r="B37" s="1" t="n"/>
      <c r="C37" s="1" t="n"/>
      <c r="D37" s="1" t="n"/>
      <c r="E37" s="1" t="n"/>
      <c r="F37" s="1" t="n"/>
    </row>
    <row r="38">
      <c r="A38" s="1" t="n"/>
      <c r="B38" s="1" t="n"/>
      <c r="C38" s="1" t="n"/>
      <c r="D38" s="1" t="n"/>
      <c r="E38" s="1" t="n"/>
      <c r="F38" s="1" t="n"/>
    </row>
    <row r="39">
      <c r="A39" s="1" t="n"/>
      <c r="B39" s="1" t="n"/>
      <c r="C39" s="1" t="n"/>
      <c r="D39" s="1" t="n"/>
      <c r="E39" s="1" t="n"/>
      <c r="F39" s="1" t="n"/>
    </row>
    <row r="40">
      <c r="A40" s="1" t="n"/>
      <c r="B40" s="1" t="n"/>
      <c r="C40" s="1" t="n"/>
      <c r="D40" s="1" t="n"/>
      <c r="E40" s="1" t="n"/>
      <c r="F40" s="1" t="n"/>
    </row>
  </sheetData>
  <mergeCells count="15">
    <mergeCell ref="C22:F22"/>
    <mergeCell ref="C18:F18"/>
    <mergeCell ref="B2:F2"/>
    <mergeCell ref="C8:F8"/>
    <mergeCell ref="C26:F26"/>
    <mergeCell ref="C12:F12"/>
    <mergeCell ref="C20:F20"/>
    <mergeCell ref="B3:F3"/>
    <mergeCell ref="C6:F6"/>
    <mergeCell ref="C30:F30"/>
    <mergeCell ref="C16:F16"/>
    <mergeCell ref="C28:F28"/>
    <mergeCell ref="C24:F24"/>
    <mergeCell ref="C10:F10"/>
    <mergeCell ref="C14:F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Z102"/>
  <sheetViews>
    <sheetView showGridLines="0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D7" sqref="D7"/>
    </sheetView>
  </sheetViews>
  <sheetFormatPr baseColWidth="8" defaultRowHeight="14.25"/>
  <cols>
    <col width="3" customWidth="1" min="1" max="1"/>
    <col width="14" customWidth="1" min="2" max="2"/>
    <col width="18" customWidth="1" min="3" max="3"/>
    <col width="32" customWidth="1" min="4" max="4"/>
    <col width="46" customWidth="1" min="5" max="5"/>
    <col width="45" customWidth="1" min="6" max="6"/>
    <col width="21" customWidth="1" min="7" max="7"/>
    <col width="38" customWidth="1" min="8" max="8"/>
    <col width="22" customWidth="1" min="9" max="9"/>
    <col width="21" customWidth="1" min="10" max="10"/>
    <col width="34" customWidth="1" min="11" max="11"/>
    <col width="22" customWidth="1" min="12" max="12"/>
    <col width="20" customWidth="1" min="13" max="14"/>
    <col width="21" customWidth="1" min="15" max="15"/>
    <col width="23" customWidth="1" min="16" max="16"/>
    <col width="40" customWidth="1" min="17" max="18"/>
    <col width="16" customWidth="1" min="19" max="19"/>
    <col width="20" customWidth="1" min="20" max="20"/>
    <col width="22" customWidth="1" min="21" max="21"/>
    <col width="20" customWidth="1" min="22" max="22"/>
    <col width="25" customWidth="1" min="23" max="23"/>
    <col width="20" customWidth="1" min="24" max="24"/>
    <col width="21" customWidth="1" min="25" max="25"/>
    <col width="20" customWidth="1" min="26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36" customHeight="1">
      <c r="A2" s="1" t="n"/>
      <c r="B2" s="18" t="inlineStr">
        <is>
          <t>CHECKLIST KESIAPAN BUKTI — 93 KONTROL ANNEX A</t>
        </is>
      </c>
    </row>
    <row r="3" ht="24.95" customHeight="1">
      <c r="A3" s="1" t="n"/>
      <c r="B3" s="19" t="inlineStr">
        <is>
          <t>ISO/IEC 27001:2022 — isi sel krem; hasil otomatis tampil pada kolom biru muda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44.1" customHeight="1">
      <c r="A6" s="1" t="n"/>
      <c r="B6" s="28" t="inlineStr">
        <is>
          <t>Kontrol</t>
        </is>
      </c>
      <c r="C6" s="29" t="inlineStr">
        <is>
          <t>Tema</t>
        </is>
      </c>
      <c r="D6" s="29" t="inlineStr">
        <is>
          <t>Judul kontrol</t>
        </is>
      </c>
      <c r="E6" s="29" t="inlineStr">
        <is>
          <t>Fokus pemeriksaan</t>
        </is>
      </c>
      <c r="F6" s="29" t="inlineStr">
        <is>
          <t>Contoh bukti objektif</t>
        </is>
      </c>
      <c r="G6" s="29" t="inlineStr">
        <is>
          <t>Relevansi SoA</t>
        </is>
      </c>
      <c r="H6" s="29" t="inlineStr">
        <is>
          <t>Justifikasi relevansi</t>
        </is>
      </c>
      <c r="I6" s="29" t="inlineStr">
        <is>
          <t>Status implementasi</t>
        </is>
      </c>
      <c r="J6" s="29" t="inlineStr">
        <is>
          <t>Ketersediaan bukti</t>
        </is>
      </c>
      <c r="K6" s="29" t="inlineStr">
        <is>
          <t>Evidence ID / URL</t>
        </is>
      </c>
      <c r="L6" s="29" t="inlineStr">
        <is>
          <t>PIC</t>
        </is>
      </c>
      <c r="M6" s="29" t="inlineStr">
        <is>
          <t>Review terakhir</t>
        </is>
      </c>
      <c r="N6" s="29" t="inlineStr">
        <is>
          <t>Review berikutnya</t>
        </is>
      </c>
      <c r="O6" s="29" t="inlineStr">
        <is>
          <t>Desain kontrol</t>
        </is>
      </c>
      <c r="P6" s="29" t="inlineStr">
        <is>
          <t>Efektivitas operasional</t>
        </is>
      </c>
      <c r="Q6" s="29" t="inlineStr">
        <is>
          <t>Catatan / gap</t>
        </is>
      </c>
      <c r="R6" s="29" t="inlineStr">
        <is>
          <t>Tindakan perbaikan</t>
        </is>
      </c>
      <c r="S6" s="29" t="inlineStr">
        <is>
          <t>Prioritas</t>
        </is>
      </c>
      <c r="T6" s="29" t="inlineStr">
        <is>
          <t>Target</t>
        </is>
      </c>
      <c r="U6" s="29" t="inlineStr">
        <is>
          <t>Reviewer</t>
        </is>
      </c>
      <c r="V6" s="29" t="inlineStr">
        <is>
          <t>Tanggal validasi</t>
        </is>
      </c>
      <c r="W6" s="29" t="inlineStr">
        <is>
          <t>Pemeriksaan field</t>
        </is>
      </c>
      <c r="X6" s="29" t="inlineStr">
        <is>
          <t>Kesiapan</t>
        </is>
      </c>
      <c r="Y6" s="29" t="inlineStr">
        <is>
          <t>Deadline</t>
        </is>
      </c>
      <c r="Z6" s="30" t="inlineStr">
        <is>
          <t>Perlu tindakan</t>
        </is>
      </c>
    </row>
    <row r="7" ht="63.95" customHeight="1">
      <c r="A7" s="1" t="n"/>
      <c r="B7" s="12" t="inlineStr">
        <is>
          <t>A.5.1</t>
        </is>
      </c>
      <c r="C7" s="32" t="inlineStr">
        <is>
          <t>Organizational</t>
        </is>
      </c>
      <c r="D7" s="32" t="inlineStr">
        <is>
          <t>Kebijakan keamanan informasi</t>
        </is>
      </c>
      <c r="E7" s="32" t="inlineStr">
        <is>
          <t>Kebijakan disetujui, dikomunikasikan, dan ditinjau berkala</t>
        </is>
      </c>
      <c r="F7" s="32" t="inlineStr">
        <is>
          <t>Kebijakan, approval, riwayat versi, bukti sosialisasi</t>
        </is>
      </c>
      <c r="G7" s="13" t="inlineStr">
        <is>
          <t>Berlaku</t>
        </is>
      </c>
      <c r="H7" s="13" t="inlineStr">
        <is>
          <t>Kontrol A.5.1 relevan dan wajib diterapkan pada platform operasional auditsphere.app.</t>
        </is>
      </c>
      <c r="I7" s="13" t="inlineStr">
        <is>
          <t>Diterapkan</t>
        </is>
      </c>
      <c r="J7" s="13" t="inlineStr">
        <is>
          <t>Lengkap</t>
        </is>
      </c>
      <c r="K7" s="13" t="inlineStr">
        <is>
          <t>DOC-ISO-AS-001</t>
        </is>
      </c>
      <c r="L7" s="13" t="inlineStr">
        <is>
          <t>Lead Information Security</t>
        </is>
      </c>
      <c r="M7" s="14" t="n">
        <v>46302</v>
      </c>
      <c r="N7" s="14" t="n">
        <v>46477</v>
      </c>
      <c r="O7" s="13" t="inlineStr">
        <is>
          <t>Memadai</t>
        </is>
      </c>
      <c r="P7" s="13" t="inlineStr">
        <is>
          <t>Efektif</t>
        </is>
      </c>
      <c r="Q7" s="13" t="inlineStr">
        <is>
          <t>Kebijakan keamanan informasi disahkan Manajemen Puncak mencakup seluruh domain sistem AuditSphere.</t>
        </is>
      </c>
      <c r="R7" s="13" t="inlineStr">
        <is>
          <t>Pertahankan efektivitas kontrol dan lakukan review operasional berkala</t>
        </is>
      </c>
      <c r="S7" s="13" t="inlineStr">
        <is>
          <t>Sedang</t>
        </is>
      </c>
      <c r="T7" s="14" t="n">
        <v>46477</v>
      </c>
      <c r="U7" s="13" t="inlineStr">
        <is>
          <t>Dimas (Group Vision)</t>
        </is>
      </c>
      <c r="V7" s="14" t="n">
        <v>46302</v>
      </c>
      <c r="W7" s="31">
        <f>IF(G7="Belum ditentukan","Tentukan relevansi",IF(G7="Tidak berlaku",IF(OR(H7="",U7="",V7=""),"Lengkapi justifikasi","Tercatat"),IF(OR(J7="",L7="",N7="",O7="",P7=""),"Lengkapi assessment",IF(AND(I7="Diterapkan",J7="Lengkap",O7="Memadai",P7="Efektif",OR(K7="",U7="",V7="")),"Lengkapi bukti/reviewer","Tercatat"))))</f>
        <v/>
      </c>
      <c r="X7" s="31">
        <f>IF(G7="Belum ditentukan","Belum dinilai",IF(G7="Tidak berlaku",IF(W7="Tercatat","Dikecualikan","Belum siap"),IF(AND(I7="Diterapkan",J7="Lengkap",O7="Memadai",P7="Efektif",W7="Tercatat"),"Siap","Belum siap")))</f>
        <v/>
      </c>
      <c r="Y7" s="31">
        <f>IF(G7="Belum ditentukan","Belum dijadwalkan",IF(N7="","Tanpa jadwal",IF(N7&lt;'Master Data'!$C$9,"Review lewat","Dalam jadwal")))</f>
        <v/>
      </c>
      <c r="Z7" s="31">
        <f>IF(X7="Belum dinilai","Belum dinilai",IF(AND(OR(X7="Siap",X7="Dikecualikan"),Y7="Dalam jadwal"),"Tidak","Ya"))</f>
        <v/>
      </c>
    </row>
    <row r="8" ht="63.95" customHeight="1">
      <c r="A8" s="1" t="n"/>
      <c r="B8" s="12" t="inlineStr">
        <is>
          <t>A.5.2</t>
        </is>
      </c>
      <c r="C8" s="32" t="inlineStr">
        <is>
          <t>Organizational</t>
        </is>
      </c>
      <c r="D8" s="32" t="inlineStr">
        <is>
          <t>Peran dan tanggung jawab keamanan informasi</t>
        </is>
      </c>
      <c r="E8" s="32" t="inlineStr">
        <is>
          <t>Peran, kewenangan, dan akuntabilitas keamanan ditetapkan</t>
        </is>
      </c>
      <c r="F8" s="32" t="inlineStr">
        <is>
          <t>RACI, job description, surat penunjukan, struktur organisasi</t>
        </is>
      </c>
      <c r="G8" s="13" t="inlineStr">
        <is>
          <t>Berlaku</t>
        </is>
      </c>
      <c r="H8" s="13" t="inlineStr">
        <is>
          <t>Kontrol A.5.2 relevan dan wajib diterapkan pada platform operasional auditsphere.app.</t>
        </is>
      </c>
      <c r="I8" s="13" t="inlineStr">
        <is>
          <t>Diterapkan</t>
        </is>
      </c>
      <c r="J8" s="13" t="inlineStr">
        <is>
          <t>Lengkap</t>
        </is>
      </c>
      <c r="K8" s="13" t="inlineStr">
        <is>
          <t>DOC-ISO-AS-001-Sec14-RACI</t>
        </is>
      </c>
      <c r="L8" s="13" t="inlineStr">
        <is>
          <t>Tech Lead AIFL</t>
        </is>
      </c>
      <c r="M8" s="14" t="n">
        <v>46302</v>
      </c>
      <c r="N8" s="14" t="n">
        <v>46477</v>
      </c>
      <c r="O8" s="13" t="inlineStr">
        <is>
          <t>Memadai</t>
        </is>
      </c>
      <c r="P8" s="13" t="inlineStr">
        <is>
          <t>Efektif</t>
        </is>
      </c>
      <c r="Q8" s="13" t="inlineStr">
        <is>
          <t>Matriks RACI formal menetapkan penanggung jawab development, infrastructure, security, dan QA.</t>
        </is>
      </c>
      <c r="R8" s="13" t="inlineStr">
        <is>
          <t>Pertahankan efektivitas kontrol dan lakukan review operasional berkala</t>
        </is>
      </c>
      <c r="S8" s="13" t="inlineStr">
        <is>
          <t>Sedang</t>
        </is>
      </c>
      <c r="T8" s="14" t="n">
        <v>46477</v>
      </c>
      <c r="U8" s="13" t="inlineStr">
        <is>
          <t>Dimas (Group Vision)</t>
        </is>
      </c>
      <c r="V8" s="14" t="n">
        <v>46302</v>
      </c>
      <c r="W8" s="31">
        <f>IF(G8="Belum ditentukan","Tentukan relevansi",IF(G8="Tidak berlaku",IF(OR(H8="",U8="",V8=""),"Lengkapi justifikasi","Tercatat"),IF(OR(J8="",L8="",N8="",O8="",P8=""),"Lengkapi assessment",IF(AND(I8="Diterapkan",J8="Lengkap",O8="Memadai",P8="Efektif",OR(K8="",U8="",V8="")),"Lengkapi bukti/reviewer","Tercatat"))))</f>
        <v/>
      </c>
      <c r="X8" s="31">
        <f>IF(G8="Belum ditentukan","Belum dinilai",IF(G8="Tidak berlaku",IF(W8="Tercatat","Dikecualikan","Belum siap"),IF(AND(I8="Diterapkan",J8="Lengkap",O8="Memadai",P8="Efektif",W8="Tercatat"),"Siap","Belum siap")))</f>
        <v/>
      </c>
      <c r="Y8" s="31">
        <f>IF(G8="Belum ditentukan","Belum dijadwalkan",IF(N8="","Tanpa jadwal",IF(N8&lt;'Master Data'!$C$9,"Review lewat","Dalam jadwal")))</f>
        <v/>
      </c>
      <c r="Z8" s="31">
        <f>IF(X8="Belum dinilai","Belum dinilai",IF(AND(OR(X8="Siap",X8="Dikecualikan"),Y8="Dalam jadwal"),"Tidak","Ya"))</f>
        <v/>
      </c>
    </row>
    <row r="9" ht="63.95" customHeight="1">
      <c r="A9" s="1" t="n"/>
      <c r="B9" s="12" t="inlineStr">
        <is>
          <t>A.5.3</t>
        </is>
      </c>
      <c r="C9" s="32" t="inlineStr">
        <is>
          <t>Organizational</t>
        </is>
      </c>
      <c r="D9" s="32" t="inlineStr">
        <is>
          <t>Pemisahan tugas</t>
        </is>
      </c>
      <c r="E9" s="32" t="inlineStr">
        <is>
          <t>Tugas yang berpotensi konflik dipisahkan atau dikompensasi</t>
        </is>
      </c>
      <c r="F9" s="32" t="inlineStr">
        <is>
          <t>Matriks SoD, approval workflow, daftar konflik dan kompensasi</t>
        </is>
      </c>
      <c r="G9" s="13" t="inlineStr">
        <is>
          <t>Berlaku</t>
        </is>
      </c>
      <c r="H9" s="13" t="inlineStr">
        <is>
          <t>Kontrol A.5.3 relevan dan wajib diterapkan pada platform operasional auditsphere.app.</t>
        </is>
      </c>
      <c r="I9" s="13" t="inlineStr">
        <is>
          <t>Diterapkan</t>
        </is>
      </c>
      <c r="J9" s="13" t="inlineStr">
        <is>
          <t>Lengkap</t>
        </is>
      </c>
      <c r="K9" s="13" t="inlineStr">
        <is>
          <t>SRC-backend/auth-service/models/user.go</t>
        </is>
      </c>
      <c r="L9" s="13" t="inlineStr">
        <is>
          <t>Engineering Lead</t>
        </is>
      </c>
      <c r="M9" s="14" t="n">
        <v>46302</v>
      </c>
      <c r="N9" s="14" t="n">
        <v>46477</v>
      </c>
      <c r="O9" s="13" t="inlineStr">
        <is>
          <t>Memadai</t>
        </is>
      </c>
      <c r="P9" s="13" t="inlineStr">
        <is>
          <t>Efektif</t>
        </is>
      </c>
      <c r="Q9" s="13" t="inlineStr">
        <is>
          <t>Pemisahan wewenang RBAC 5-level: CAE, Lead Auditor, Auditor, Reviewer, dan Administrator.</t>
        </is>
      </c>
      <c r="R9" s="13" t="inlineStr">
        <is>
          <t>Pertahankan efektivitas kontrol dan lakukan review operasional berkala</t>
        </is>
      </c>
      <c r="S9" s="13" t="inlineStr">
        <is>
          <t>Sedang</t>
        </is>
      </c>
      <c r="T9" s="14" t="n">
        <v>46477</v>
      </c>
      <c r="U9" s="13" t="inlineStr">
        <is>
          <t>Dimas (Group Vision)</t>
        </is>
      </c>
      <c r="V9" s="14" t="n">
        <v>46302</v>
      </c>
      <c r="W9" s="31">
        <f>IF(G9="Belum ditentukan","Tentukan relevansi",IF(G9="Tidak berlaku",IF(OR(H9="",U9="",V9=""),"Lengkapi justifikasi","Tercatat"),IF(OR(J9="",L9="",N9="",O9="",P9=""),"Lengkapi assessment",IF(AND(I9="Diterapkan",J9="Lengkap",O9="Memadai",P9="Efektif",OR(K9="",U9="",V9="")),"Lengkapi bukti/reviewer","Tercatat"))))</f>
        <v/>
      </c>
      <c r="X9" s="31">
        <f>IF(G9="Belum ditentukan","Belum dinilai",IF(G9="Tidak berlaku",IF(W9="Tercatat","Dikecualikan","Belum siap"),IF(AND(I9="Diterapkan",J9="Lengkap",O9="Memadai",P9="Efektif",W9="Tercatat"),"Siap","Belum siap")))</f>
        <v/>
      </c>
      <c r="Y9" s="31">
        <f>IF(G9="Belum ditentukan","Belum dijadwalkan",IF(N9="","Tanpa jadwal",IF(N9&lt;'Master Data'!$C$9,"Review lewat","Dalam jadwal")))</f>
        <v/>
      </c>
      <c r="Z9" s="31">
        <f>IF(X9="Belum dinilai","Belum dinilai",IF(AND(OR(X9="Siap",X9="Dikecualikan"),Y9="Dalam jadwal"),"Tidak","Ya"))</f>
        <v/>
      </c>
    </row>
    <row r="10" ht="63.95" customHeight="1">
      <c r="A10" s="1" t="n"/>
      <c r="B10" s="12" t="inlineStr">
        <is>
          <t>A.5.4</t>
        </is>
      </c>
      <c r="C10" s="32" t="inlineStr">
        <is>
          <t>Organizational</t>
        </is>
      </c>
      <c r="D10" s="32" t="inlineStr">
        <is>
          <t>Tanggung jawab manajemen</t>
        </is>
      </c>
      <c r="E10" s="32" t="inlineStr">
        <is>
          <t>Manajemen memastikan personel mengikuti aturan keamanan</t>
        </is>
      </c>
      <c r="F10" s="32" t="inlineStr">
        <is>
          <t>Arahan manajemen, acknowledgement, notulen, bukti monitoring</t>
        </is>
      </c>
      <c r="G10" s="13" t="inlineStr">
        <is>
          <t>Berlaku</t>
        </is>
      </c>
      <c r="H10" s="13" t="inlineStr">
        <is>
          <t>Kontrol A.5.4 relevan dan wajib diterapkan pada platform operasional auditsphere.app.</t>
        </is>
      </c>
      <c r="I10" s="13" t="inlineStr">
        <is>
          <t>Diterapkan</t>
        </is>
      </c>
      <c r="J10" s="13" t="inlineStr">
        <is>
          <t>Lengkap</t>
        </is>
      </c>
      <c r="K10" s="13" t="inlineStr">
        <is>
          <t>DOC-ISO-AS-001-Sec1.1</t>
        </is>
      </c>
      <c r="L10" s="13" t="inlineStr">
        <is>
          <t>Dimas (Group Vision)</t>
        </is>
      </c>
      <c r="M10" s="14" t="n">
        <v>46302</v>
      </c>
      <c r="N10" s="14" t="n">
        <v>46477</v>
      </c>
      <c r="O10" s="13" t="inlineStr">
        <is>
          <t>Memadai</t>
        </is>
      </c>
      <c r="P10" s="13" t="inlineStr">
        <is>
          <t>Efektif</t>
        </is>
      </c>
      <c r="Q10" s="13" t="inlineStr">
        <is>
          <t>Pimpinan secara aktif mengesahkan kebijakan, sasaran mutu keamanan, dan alokasi sumber daya.</t>
        </is>
      </c>
      <c r="R10" s="13" t="inlineStr">
        <is>
          <t>Pertahankan efektivitas kontrol dan lakukan review operasional berkala</t>
        </is>
      </c>
      <c r="S10" s="13" t="inlineStr">
        <is>
          <t>Sedang</t>
        </is>
      </c>
      <c r="T10" s="14" t="n">
        <v>46477</v>
      </c>
      <c r="U10" s="13" t="inlineStr">
        <is>
          <t>Dimas (Group Vision)</t>
        </is>
      </c>
      <c r="V10" s="14" t="n">
        <v>46302</v>
      </c>
      <c r="W10" s="31">
        <f>IF(G10="Belum ditentukan","Tentukan relevansi",IF(G10="Tidak berlaku",IF(OR(H10="",U10="",V10=""),"Lengkapi justifikasi","Tercatat"),IF(OR(J10="",L10="",N10="",O10="",P10=""),"Lengkapi assessment",IF(AND(I10="Diterapkan",J10="Lengkap",O10="Memadai",P10="Efektif",OR(K10="",U10="",V10="")),"Lengkapi bukti/reviewer","Tercatat"))))</f>
        <v/>
      </c>
      <c r="X10" s="31">
        <f>IF(G10="Belum ditentukan","Belum dinilai",IF(G10="Tidak berlaku",IF(W10="Tercatat","Dikecualikan","Belum siap"),IF(AND(I10="Diterapkan",J10="Lengkap",O10="Memadai",P10="Efektif",W10="Tercatat"),"Siap","Belum siap")))</f>
        <v/>
      </c>
      <c r="Y10" s="31">
        <f>IF(G10="Belum ditentukan","Belum dijadwalkan",IF(N10="","Tanpa jadwal",IF(N10&lt;'Master Data'!$C$9,"Review lewat","Dalam jadwal")))</f>
        <v/>
      </c>
      <c r="Z10" s="31">
        <f>IF(X10="Belum dinilai","Belum dinilai",IF(AND(OR(X10="Siap",X10="Dikecualikan"),Y10="Dalam jadwal"),"Tidak","Ya"))</f>
        <v/>
      </c>
    </row>
    <row r="11" ht="63.95" customHeight="1">
      <c r="A11" s="1" t="n"/>
      <c r="B11" s="12" t="inlineStr">
        <is>
          <t>A.5.5</t>
        </is>
      </c>
      <c r="C11" s="32" t="inlineStr">
        <is>
          <t>Organizational</t>
        </is>
      </c>
      <c r="D11" s="32" t="inlineStr">
        <is>
          <t>Kontak dengan pihak berwenang</t>
        </is>
      </c>
      <c r="E11" s="32" t="inlineStr">
        <is>
          <t>Kontak otoritas relevan tersedia dan prosedur eskalasi jelas</t>
        </is>
      </c>
      <c r="F11" s="32" t="inlineStr">
        <is>
          <t>Daftar kontak, prosedur pelaporan, bukti komunikasi atau uji</t>
        </is>
      </c>
      <c r="G11" s="13" t="inlineStr">
        <is>
          <t>Berlaku</t>
        </is>
      </c>
      <c r="H11" s="13" t="inlineStr">
        <is>
          <t>Kontrol A.5.5 relevan dan wajib diterapkan pada platform operasional auditsphere.app.</t>
        </is>
      </c>
      <c r="I11" s="13" t="inlineStr">
        <is>
          <t>Diterapkan</t>
        </is>
      </c>
      <c r="J11" s="13" t="inlineStr">
        <is>
          <t>Lengkap</t>
        </is>
      </c>
      <c r="K11" s="13" t="inlineStr">
        <is>
          <t>DOC-ISO-AS-001-Sec11.2</t>
        </is>
      </c>
      <c r="L11" s="13" t="inlineStr">
        <is>
          <t>Legal Counsel</t>
        </is>
      </c>
      <c r="M11" s="14" t="n">
        <v>46302</v>
      </c>
      <c r="N11" s="14" t="n">
        <v>46477</v>
      </c>
      <c r="O11" s="13" t="inlineStr">
        <is>
          <t>Memadai</t>
        </is>
      </c>
      <c r="P11" s="13" t="inlineStr">
        <is>
          <t>Efektif</t>
        </is>
      </c>
      <c r="Q11" s="13" t="inlineStr">
        <is>
          <t>Prosedur komunikasi eskalasi ke regulator dan otoritas hukum (BSSN/Kominfo) terdokumentasi.</t>
        </is>
      </c>
      <c r="R11" s="13" t="inlineStr">
        <is>
          <t>Pertahankan efektivitas kontrol dan lakukan review operasional berkala</t>
        </is>
      </c>
      <c r="S11" s="13" t="inlineStr">
        <is>
          <t>Sedang</t>
        </is>
      </c>
      <c r="T11" s="14" t="n">
        <v>46477</v>
      </c>
      <c r="U11" s="13" t="inlineStr">
        <is>
          <t>Dimas (Group Vision)</t>
        </is>
      </c>
      <c r="V11" s="14" t="n">
        <v>46302</v>
      </c>
      <c r="W11" s="31">
        <f>IF(G11="Belum ditentukan","Tentukan relevansi",IF(G11="Tidak berlaku",IF(OR(H11="",U11="",V11=""),"Lengkapi justifikasi","Tercatat"),IF(OR(J11="",L11="",N11="",O11="",P11=""),"Lengkapi assessment",IF(AND(I11="Diterapkan",J11="Lengkap",O11="Memadai",P11="Efektif",OR(K11="",U11="",V11="")),"Lengkapi bukti/reviewer","Tercatat"))))</f>
        <v/>
      </c>
      <c r="X11" s="31">
        <f>IF(G11="Belum ditentukan","Belum dinilai",IF(G11="Tidak berlaku",IF(W11="Tercatat","Dikecualikan","Belum siap"),IF(AND(I11="Diterapkan",J11="Lengkap",O11="Memadai",P11="Efektif",W11="Tercatat"),"Siap","Belum siap")))</f>
        <v/>
      </c>
      <c r="Y11" s="31">
        <f>IF(G11="Belum ditentukan","Belum dijadwalkan",IF(N11="","Tanpa jadwal",IF(N11&lt;'Master Data'!$C$9,"Review lewat","Dalam jadwal")))</f>
        <v/>
      </c>
      <c r="Z11" s="31">
        <f>IF(X11="Belum dinilai","Belum dinilai",IF(AND(OR(X11="Siap",X11="Dikecualikan"),Y11="Dalam jadwal"),"Tidak","Ya"))</f>
        <v/>
      </c>
    </row>
    <row r="12" ht="63.95" customHeight="1">
      <c r="A12" s="1" t="n"/>
      <c r="B12" s="12" t="inlineStr">
        <is>
          <t>A.5.6</t>
        </is>
      </c>
      <c r="C12" s="32" t="inlineStr">
        <is>
          <t>Organizational</t>
        </is>
      </c>
      <c r="D12" s="32" t="inlineStr">
        <is>
          <t>Kontak dengan kelompok minat khusus</t>
        </is>
      </c>
      <c r="E12" s="32" t="inlineStr">
        <is>
          <t>Organisasi memelihara sumber informasi dan komunitas keamanan relevan</t>
        </is>
      </c>
      <c r="F12" s="32" t="inlineStr">
        <is>
          <t>Daftar keanggotaan, mailing list, notulen forum, advisory</t>
        </is>
      </c>
      <c r="G12" s="13" t="inlineStr">
        <is>
          <t>Berlaku</t>
        </is>
      </c>
      <c r="H12" s="13" t="inlineStr">
        <is>
          <t>Penting untuk memperbarui informasi ancaman siber dan tren regulasi audit sektor keuangan terkini.</t>
        </is>
      </c>
      <c r="I12" s="13" t="n"/>
      <c r="J12" s="13" t="n"/>
      <c r="K12" s="13" t="n"/>
      <c r="L12" s="13" t="inlineStr">
        <is>
          <t>Security Officer</t>
        </is>
      </c>
      <c r="M12" s="14" t="n">
        <v>46302</v>
      </c>
      <c r="N12" s="14" t="n">
        <v>46418</v>
      </c>
      <c r="O12" s="13" t="n"/>
      <c r="P12" s="13" t="n"/>
      <c r="Q12" s="13" t="inlineStr">
        <is>
          <t>Organisasi belum terdaftar resmi sebagai anggota forum keamanan khusus (seperti Fin-CSIRT atau ISAC sektor finansial).</t>
        </is>
      </c>
      <c r="R12" s="13" t="inlineStr">
        <is>
          <t>Rekomendasi: Daftarkan tim keamanan ke komunitas CSIRT/ISAC sektor finansial dan asosiasi profesional (ISACA / IIA Chapter Indonesia) untuk pertukaran intelijen ancaman siber berkala.</t>
        </is>
      </c>
      <c r="S12" s="13" t="inlineStr">
        <is>
          <t>Rendah</t>
        </is>
      </c>
      <c r="T12" s="14" t="n">
        <v>46418</v>
      </c>
      <c r="U12" s="13" t="n"/>
      <c r="V12" s="14" t="n"/>
      <c r="W12" s="31">
        <f>IF(G12="Belum ditentukan","Tentukan relevansi",IF(G12="Tidak berlaku",IF(OR(H12="",U12="",V12=""),"Lengkapi justifikasi","Tercatat"),IF(OR(J12="",L12="",N12="",O12="",P12=""),"Lengkapi assessment",IF(AND(I12="Diterapkan",J12="Lengkap",O12="Memadai",P12="Efektif",OR(K12="",U12="",V12="")),"Lengkapi bukti/reviewer","Tercatat"))))</f>
        <v/>
      </c>
      <c r="X12" s="31">
        <f>IF(G12="Belum ditentukan","Belum dinilai",IF(G12="Tidak berlaku",IF(W12="Tercatat","Dikecualikan","Belum siap"),IF(AND(I12="Diterapkan",J12="Lengkap",O12="Memadai",P12="Efektif",W12="Tercatat"),"Siap","Belum siap")))</f>
        <v/>
      </c>
      <c r="Y12" s="31">
        <f>IF(G12="Belum ditentukan","Belum dijadwalkan",IF(N12="","Tanpa jadwal",IF(N12&lt;'Master Data'!$C$9,"Review lewat","Dalam jadwal")))</f>
        <v/>
      </c>
      <c r="Z12" s="31">
        <f>IF(X12="Belum dinilai","Belum dinilai",IF(AND(OR(X12="Siap",X12="Dikecualikan"),Y12="Dalam jadwal"),"Tidak","Ya"))</f>
        <v/>
      </c>
    </row>
    <row r="13" ht="63.95" customHeight="1">
      <c r="A13" s="1" t="n"/>
      <c r="B13" s="12" t="inlineStr">
        <is>
          <t>A.5.7</t>
        </is>
      </c>
      <c r="C13" s="32" t="inlineStr">
        <is>
          <t>Organizational</t>
        </is>
      </c>
      <c r="D13" s="32" t="inlineStr">
        <is>
          <t>Intelijen ancaman</t>
        </is>
      </c>
      <c r="E13" s="32" t="inlineStr">
        <is>
          <t>Ancaman dikumpulkan, dianalisis, dan digunakan untuk tindakan</t>
        </is>
      </c>
      <c r="F13" s="32" t="inlineStr">
        <is>
          <t>Threat feed, laporan analisis, tiket mitigasi, briefing risiko</t>
        </is>
      </c>
      <c r="G13" s="13" t="inlineStr">
        <is>
          <t>Berlaku</t>
        </is>
      </c>
      <c r="H13" s="13" t="inlineStr">
        <is>
          <t>Dibutuhkan untuk mengidentifikasi ancaman spesifik pada sistem RBIA (exfiltration, auth bypass, fraud).</t>
        </is>
      </c>
      <c r="I13" s="13" t="n"/>
      <c r="J13" s="13" t="n"/>
      <c r="K13" s="13" t="n"/>
      <c r="L13" s="13" t="inlineStr">
        <is>
          <t>SOC Lead</t>
        </is>
      </c>
      <c r="M13" s="14" t="n">
        <v>46302</v>
      </c>
      <c r="N13" s="14" t="n">
        <v>46387</v>
      </c>
      <c r="O13" s="13" t="n"/>
      <c r="P13" s="13" t="n"/>
      <c r="Q13" s="13" t="inlineStr">
        <is>
          <t>Dokumen TIP-001 tersedia, namun automated feed CTI (BSSN/OpenCTI) ke firewall perimeter belum diintegrasikan.</t>
        </is>
      </c>
      <c r="R13" s="13" t="inlineStr">
        <is>
          <t>Rekomendasi: Integrasikan feed IoC otomatis (OpenCTI / AlienVault OTX) ke Kong WAF/firewall dan jadwalkan evaluasi false-positive rate berkala.</t>
        </is>
      </c>
      <c r="S13" s="13" t="inlineStr">
        <is>
          <t>Sedang</t>
        </is>
      </c>
      <c r="T13" s="14" t="n">
        <v>46387</v>
      </c>
      <c r="U13" s="13" t="n"/>
      <c r="V13" s="14" t="n"/>
      <c r="W13" s="31">
        <f>IF(G13="Belum ditentukan","Tentukan relevansi",IF(G13="Tidak berlaku",IF(OR(H13="",U13="",V13=""),"Lengkapi justifikasi","Tercatat"),IF(OR(J13="",L13="",N13="",O13="",P13=""),"Lengkapi assessment",IF(AND(I13="Diterapkan",J13="Lengkap",O13="Memadai",P13="Efektif",OR(K13="",U13="",V13="")),"Lengkapi bukti/reviewer","Tercatat"))))</f>
        <v/>
      </c>
      <c r="X13" s="31">
        <f>IF(G13="Belum ditentukan","Belum dinilai",IF(G13="Tidak berlaku",IF(W13="Tercatat","Dikecualikan","Belum siap"),IF(AND(I13="Diterapkan",J13="Lengkap",O13="Memadai",P13="Efektif",W13="Tercatat"),"Siap","Belum siap")))</f>
        <v/>
      </c>
      <c r="Y13" s="31">
        <f>IF(G13="Belum ditentukan","Belum dijadwalkan",IF(N13="","Tanpa jadwal",IF(N13&lt;'Master Data'!$C$9,"Review lewat","Dalam jadwal")))</f>
        <v/>
      </c>
      <c r="Z13" s="31">
        <f>IF(X13="Belum dinilai","Belum dinilai",IF(AND(OR(X13="Siap",X13="Dikecualikan"),Y13="Dalam jadwal"),"Tidak","Ya"))</f>
        <v/>
      </c>
    </row>
    <row r="14" ht="63.95" customHeight="1">
      <c r="A14" s="1" t="n"/>
      <c r="B14" s="12" t="inlineStr">
        <is>
          <t>A.5.8</t>
        </is>
      </c>
      <c r="C14" s="32" t="inlineStr">
        <is>
          <t>Organizational</t>
        </is>
      </c>
      <c r="D14" s="32" t="inlineStr">
        <is>
          <t>Keamanan informasi dalam manajemen proyek</t>
        </is>
      </c>
      <c r="E14" s="32" t="inlineStr">
        <is>
          <t>Risiko keamanan terintegrasi pada seluruh siklus proyek</t>
        </is>
      </c>
      <c r="F14" s="32" t="inlineStr">
        <is>
          <t>Template proyek, risk register, gate review, security sign-off</t>
        </is>
      </c>
      <c r="G14" s="13" t="inlineStr">
        <is>
          <t>Berlaku</t>
        </is>
      </c>
      <c r="H14" s="13" t="inlineStr">
        <is>
          <t>Kontrol A.5.8 relevan dan wajib diterapkan pada platform operasional auditsphere.app.</t>
        </is>
      </c>
      <c r="I14" s="13" t="inlineStr">
        <is>
          <t>Diterapkan</t>
        </is>
      </c>
      <c r="J14" s="13" t="inlineStr">
        <is>
          <t>Lengkap</t>
        </is>
      </c>
      <c r="K14" s="13" t="inlineStr">
        <is>
          <t>DOC-TMT-001_Threat_Modeling</t>
        </is>
      </c>
      <c r="L14" s="13" t="inlineStr">
        <is>
          <t>Security Architect</t>
        </is>
      </c>
      <c r="M14" s="14" t="n">
        <v>46302</v>
      </c>
      <c r="N14" s="14" t="n">
        <v>46477</v>
      </c>
      <c r="O14" s="13" t="inlineStr">
        <is>
          <t>Memadai</t>
        </is>
      </c>
      <c r="P14" s="13" t="inlineStr">
        <is>
          <t>Efektif</t>
        </is>
      </c>
      <c r="Q14" s="13" t="inlineStr">
        <is>
          <t>Penilaian risiko keamanan terintegrasi pada fase perancangan sistem dan sprint rilis.</t>
        </is>
      </c>
      <c r="R14" s="13" t="inlineStr">
        <is>
          <t>Pertahankan efektivitas kontrol dan lakukan review operasional berkala</t>
        </is>
      </c>
      <c r="S14" s="13" t="inlineStr">
        <is>
          <t>Sedang</t>
        </is>
      </c>
      <c r="T14" s="14" t="n">
        <v>46477</v>
      </c>
      <c r="U14" s="13" t="inlineStr">
        <is>
          <t>Dimas (Group Vision)</t>
        </is>
      </c>
      <c r="V14" s="14" t="n">
        <v>46302</v>
      </c>
      <c r="W14" s="31">
        <f>IF(G14="Belum ditentukan","Tentukan relevansi",IF(G14="Tidak berlaku",IF(OR(H14="",U14="",V14=""),"Lengkapi justifikasi","Tercatat"),IF(OR(J14="",L14="",N14="",O14="",P14=""),"Lengkapi assessment",IF(AND(I14="Diterapkan",J14="Lengkap",O14="Memadai",P14="Efektif",OR(K14="",U14="",V14="")),"Lengkapi bukti/reviewer","Tercatat"))))</f>
        <v/>
      </c>
      <c r="X14" s="31">
        <f>IF(G14="Belum ditentukan","Belum dinilai",IF(G14="Tidak berlaku",IF(W14="Tercatat","Dikecualikan","Belum siap"),IF(AND(I14="Diterapkan",J14="Lengkap",O14="Memadai",P14="Efektif",W14="Tercatat"),"Siap","Belum siap")))</f>
        <v/>
      </c>
      <c r="Y14" s="31">
        <f>IF(G14="Belum ditentukan","Belum dijadwalkan",IF(N14="","Tanpa jadwal",IF(N14&lt;'Master Data'!$C$9,"Review lewat","Dalam jadwal")))</f>
        <v/>
      </c>
      <c r="Z14" s="31">
        <f>IF(X14="Belum dinilai","Belum dinilai",IF(AND(OR(X14="Siap",X14="Dikecualikan"),Y14="Dalam jadwal"),"Tidak","Ya"))</f>
        <v/>
      </c>
    </row>
    <row r="15" ht="63.95" customHeight="1">
      <c r="A15" s="1" t="n"/>
      <c r="B15" s="12" t="inlineStr">
        <is>
          <t>A.5.9</t>
        </is>
      </c>
      <c r="C15" s="32" t="inlineStr">
        <is>
          <t>Organizational</t>
        </is>
      </c>
      <c r="D15" s="32" t="inlineStr">
        <is>
          <t>Inventaris informasi dan aset terkait</t>
        </is>
      </c>
      <c r="E15" s="32" t="inlineStr">
        <is>
          <t>Aset memiliki pemilik, klasifikasi, lokasi, dan status terkini</t>
        </is>
      </c>
      <c r="F15" s="32" t="inlineStr">
        <is>
          <t>Asset register, CMDB, daftar pemilik, hasil rekonsiliasi</t>
        </is>
      </c>
      <c r="G15" s="13" t="inlineStr">
        <is>
          <t>Berlaku</t>
        </is>
      </c>
      <c r="H15" s="13" t="inlineStr">
        <is>
          <t>Kontrol A.5.9 relevan dan wajib diterapkan pada platform operasional auditsphere.app.</t>
        </is>
      </c>
      <c r="I15" s="13" t="inlineStr">
        <is>
          <t>Diterapkan</t>
        </is>
      </c>
      <c r="J15" s="13" t="inlineStr">
        <is>
          <t>Lengkap</t>
        </is>
      </c>
      <c r="K15" s="13" t="inlineStr">
        <is>
          <t>DOC-ISO-AS-001-Sec4.2</t>
        </is>
      </c>
      <c r="L15" s="13" t="inlineStr">
        <is>
          <t>Lead Information Security</t>
        </is>
      </c>
      <c r="M15" s="14" t="n">
        <v>46302</v>
      </c>
      <c r="N15" s="14" t="n">
        <v>46477</v>
      </c>
      <c r="O15" s="13" t="inlineStr">
        <is>
          <t>Memadai</t>
        </is>
      </c>
      <c r="P15" s="13" t="inlineStr">
        <is>
          <t>Efektif</t>
        </is>
      </c>
      <c r="Q15" s="13" t="inlineStr">
        <is>
          <t>Inventarisasi aset informasi (source code, database, evidence, kredensial) tercatat lengkap.</t>
        </is>
      </c>
      <c r="R15" s="13" t="inlineStr">
        <is>
          <t>Pertahankan efektivitas kontrol dan lakukan review operasional berkala</t>
        </is>
      </c>
      <c r="S15" s="13" t="inlineStr">
        <is>
          <t>Sedang</t>
        </is>
      </c>
      <c r="T15" s="14" t="n">
        <v>46477</v>
      </c>
      <c r="U15" s="13" t="inlineStr">
        <is>
          <t>Dimas (Group Vision)</t>
        </is>
      </c>
      <c r="V15" s="14" t="n">
        <v>46302</v>
      </c>
      <c r="W15" s="31">
        <f>IF(G15="Belum ditentukan","Tentukan relevansi",IF(G15="Tidak berlaku",IF(OR(H15="",U15="",V15=""),"Lengkapi justifikasi","Tercatat"),IF(OR(J15="",L15="",N15="",O15="",P15=""),"Lengkapi assessment",IF(AND(I15="Diterapkan",J15="Lengkap",O15="Memadai",P15="Efektif",OR(K15="",U15="",V15="")),"Lengkapi bukti/reviewer","Tercatat"))))</f>
        <v/>
      </c>
      <c r="X15" s="31">
        <f>IF(G15="Belum ditentukan","Belum dinilai",IF(G15="Tidak berlaku",IF(W15="Tercatat","Dikecualikan","Belum siap"),IF(AND(I15="Diterapkan",J15="Lengkap",O15="Memadai",P15="Efektif",W15="Tercatat"),"Siap","Belum siap")))</f>
        <v/>
      </c>
      <c r="Y15" s="31">
        <f>IF(G15="Belum ditentukan","Belum dijadwalkan",IF(N15="","Tanpa jadwal",IF(N15&lt;'Master Data'!$C$9,"Review lewat","Dalam jadwal")))</f>
        <v/>
      </c>
      <c r="Z15" s="31">
        <f>IF(X15="Belum dinilai","Belum dinilai",IF(AND(OR(X15="Siap",X15="Dikecualikan"),Y15="Dalam jadwal"),"Tidak","Ya"))</f>
        <v/>
      </c>
    </row>
    <row r="16" ht="63.95" customHeight="1">
      <c r="A16" s="1" t="n"/>
      <c r="B16" s="12" t="inlineStr">
        <is>
          <t>A.5.10</t>
        </is>
      </c>
      <c r="C16" s="32" t="inlineStr">
        <is>
          <t>Organizational</t>
        </is>
      </c>
      <c r="D16" s="32" t="inlineStr">
        <is>
          <t>Penggunaan yang dapat diterima</t>
        </is>
      </c>
      <c r="E16" s="32" t="inlineStr">
        <is>
          <t>Aturan penggunaan aset dan informasi ditetapkan dan dipahami</t>
        </is>
      </c>
      <c r="F16" s="32" t="inlineStr">
        <is>
          <t>Acceptable use policy, acknowledgement, bukti sosialisasi</t>
        </is>
      </c>
      <c r="G16" s="13" t="inlineStr">
        <is>
          <t>Berlaku</t>
        </is>
      </c>
      <c r="H16" s="13" t="inlineStr">
        <is>
          <t>Kontrol A.5.10 relevan dan wajib diterapkan pada platform operasional auditsphere.app.</t>
        </is>
      </c>
      <c r="I16" s="13" t="inlineStr">
        <is>
          <t>Diterapkan</t>
        </is>
      </c>
      <c r="J16" s="13" t="inlineStr">
        <is>
          <t>Lengkap</t>
        </is>
      </c>
      <c r="K16" s="13" t="inlineStr">
        <is>
          <t>DOC-AIP-001_AI_Usage_Policy</t>
        </is>
      </c>
      <c r="L16" s="13" t="inlineStr">
        <is>
          <t>Security Officer</t>
        </is>
      </c>
      <c r="M16" s="14" t="n">
        <v>46302</v>
      </c>
      <c r="N16" s="14" t="n">
        <v>46477</v>
      </c>
      <c r="O16" s="13" t="inlineStr">
        <is>
          <t>Memadai</t>
        </is>
      </c>
      <c r="P16" s="13" t="inlineStr">
        <is>
          <t>Efektif</t>
        </is>
      </c>
      <c r="Q16" s="13" t="inlineStr">
        <is>
          <t>Pedoman penggunaan aset komputasi dan pemanfaatan AI yang diizinkan dan dilarang disahkan.</t>
        </is>
      </c>
      <c r="R16" s="13" t="inlineStr">
        <is>
          <t>Pertahankan efektivitas kontrol dan lakukan review operasional berkala</t>
        </is>
      </c>
      <c r="S16" s="13" t="inlineStr">
        <is>
          <t>Sedang</t>
        </is>
      </c>
      <c r="T16" s="14" t="n">
        <v>46477</v>
      </c>
      <c r="U16" s="13" t="inlineStr">
        <is>
          <t>Dimas (Group Vision)</t>
        </is>
      </c>
      <c r="V16" s="14" t="n">
        <v>46302</v>
      </c>
      <c r="W16" s="31">
        <f>IF(G16="Belum ditentukan","Tentukan relevansi",IF(G16="Tidak berlaku",IF(OR(H16="",U16="",V16=""),"Lengkapi justifikasi","Tercatat"),IF(OR(J16="",L16="",N16="",O16="",P16=""),"Lengkapi assessment",IF(AND(I16="Diterapkan",J16="Lengkap",O16="Memadai",P16="Efektif",OR(K16="",U16="",V16="")),"Lengkapi bukti/reviewer","Tercatat"))))</f>
        <v/>
      </c>
      <c r="X16" s="31">
        <f>IF(G16="Belum ditentukan","Belum dinilai",IF(G16="Tidak berlaku",IF(W16="Tercatat","Dikecualikan","Belum siap"),IF(AND(I16="Diterapkan",J16="Lengkap",O16="Memadai",P16="Efektif",W16="Tercatat"),"Siap","Belum siap")))</f>
        <v/>
      </c>
      <c r="Y16" s="31">
        <f>IF(G16="Belum ditentukan","Belum dijadwalkan",IF(N16="","Tanpa jadwal",IF(N16&lt;'Master Data'!$C$9,"Review lewat","Dalam jadwal")))</f>
        <v/>
      </c>
      <c r="Z16" s="31">
        <f>IF(X16="Belum dinilai","Belum dinilai",IF(AND(OR(X16="Siap",X16="Dikecualikan"),Y16="Dalam jadwal"),"Tidak","Ya"))</f>
        <v/>
      </c>
    </row>
    <row r="17" ht="63.95" customHeight="1">
      <c r="A17" s="1" t="n"/>
      <c r="B17" s="12" t="inlineStr">
        <is>
          <t>A.5.11</t>
        </is>
      </c>
      <c r="C17" s="32" t="inlineStr">
        <is>
          <t>Organizational</t>
        </is>
      </c>
      <c r="D17" s="32" t="inlineStr">
        <is>
          <t>Pengembalian aset</t>
        </is>
      </c>
      <c r="E17" s="32" t="inlineStr">
        <is>
          <t>Aset dikembalikan saat perubahan atau akhir hubungan kerja</t>
        </is>
      </c>
      <c r="F17" s="32" t="inlineStr">
        <is>
          <t>Offboarding checklist, BA pengembalian, tiket deaktivasi</t>
        </is>
      </c>
      <c r="G17" s="13" t="inlineStr">
        <is>
          <t>Berlaku</t>
        </is>
      </c>
      <c r="H17" s="13" t="inlineStr">
        <is>
          <t>Mencegah kebocoran data saat karyawan atau pengembang mengakhiri masa penugasan.</t>
        </is>
      </c>
      <c r="I17" s="13" t="n"/>
      <c r="J17" s="13" t="n"/>
      <c r="K17" s="13" t="n"/>
      <c r="L17" s="13" t="inlineStr">
        <is>
          <t>HR / Operations Lead</t>
        </is>
      </c>
      <c r="M17" s="14" t="n">
        <v>46302</v>
      </c>
      <c r="N17" s="14" t="n">
        <v>46356</v>
      </c>
      <c r="O17" s="13" t="n"/>
      <c r="P17" s="13" t="n"/>
      <c r="Q17" s="13" t="inlineStr">
        <is>
          <t>Formulir checklist serah terima aset IT dan pencabutan hak akses terpadu dengan HR belum dibakukan.</t>
        </is>
      </c>
      <c r="R17" s="13" t="inlineStr">
        <is>
          <t>Rekomendasi: Susun SOP HR-Offboarding Checklist resmi yang mewajibkan penyerahan laptop, token 2FA, dan verifikasi pencabutan akses sebelum rilis surat keluar.</t>
        </is>
      </c>
      <c r="S17" s="13" t="inlineStr">
        <is>
          <t>Sedang</t>
        </is>
      </c>
      <c r="T17" s="14" t="n">
        <v>46356</v>
      </c>
      <c r="U17" s="13" t="n"/>
      <c r="V17" s="14" t="n"/>
      <c r="W17" s="31">
        <f>IF(G17="Belum ditentukan","Tentukan relevansi",IF(G17="Tidak berlaku",IF(OR(H17="",U17="",V17=""),"Lengkapi justifikasi","Tercatat"),IF(OR(J17="",L17="",N17="",O17="",P17=""),"Lengkapi assessment",IF(AND(I17="Diterapkan",J17="Lengkap",O17="Memadai",P17="Efektif",OR(K17="",U17="",V17="")),"Lengkapi bukti/reviewer","Tercatat"))))</f>
        <v/>
      </c>
      <c r="X17" s="31">
        <f>IF(G17="Belum ditentukan","Belum dinilai",IF(G17="Tidak berlaku",IF(W17="Tercatat","Dikecualikan","Belum siap"),IF(AND(I17="Diterapkan",J17="Lengkap",O17="Memadai",P17="Efektif",W17="Tercatat"),"Siap","Belum siap")))</f>
        <v/>
      </c>
      <c r="Y17" s="31">
        <f>IF(G17="Belum ditentukan","Belum dijadwalkan",IF(N17="","Tanpa jadwal",IF(N17&lt;'Master Data'!$C$9,"Review lewat","Dalam jadwal")))</f>
        <v/>
      </c>
      <c r="Z17" s="31">
        <f>IF(X17="Belum dinilai","Belum dinilai",IF(AND(OR(X17="Siap",X17="Dikecualikan"),Y17="Dalam jadwal"),"Tidak","Ya"))</f>
        <v/>
      </c>
    </row>
    <row r="18" ht="63.95" customHeight="1">
      <c r="A18" s="1" t="n"/>
      <c r="B18" s="12" t="inlineStr">
        <is>
          <t>A.5.12</t>
        </is>
      </c>
      <c r="C18" s="32" t="inlineStr">
        <is>
          <t>Organizational</t>
        </is>
      </c>
      <c r="D18" s="32" t="inlineStr">
        <is>
          <t>Klasifikasi informasi</t>
        </is>
      </c>
      <c r="E18" s="32" t="inlineStr">
        <is>
          <t>Informasi diklasifikasikan sesuai risiko dan kebutuhan bisnis</t>
        </is>
      </c>
      <c r="F18" s="32" t="inlineStr">
        <is>
          <t>Skema klasifikasi, inventaris informasi, sampel klasifikasi</t>
        </is>
      </c>
      <c r="G18" s="13" t="inlineStr">
        <is>
          <t>Berlaku</t>
        </is>
      </c>
      <c r="H18" s="13" t="inlineStr">
        <is>
          <t>Kontrol A.5.12 relevan dan wajib diterapkan pada platform operasional auditsphere.app.</t>
        </is>
      </c>
      <c r="I18" s="13" t="inlineStr">
        <is>
          <t>Diterapkan</t>
        </is>
      </c>
      <c r="J18" s="13" t="inlineStr">
        <is>
          <t>Lengkap</t>
        </is>
      </c>
      <c r="K18" s="13" t="inlineStr">
        <is>
          <t>DOC-ISO-AS-001-Sec4.2</t>
        </is>
      </c>
      <c r="L18" s="13" t="inlineStr">
        <is>
          <t>Compliance Lead</t>
        </is>
      </c>
      <c r="M18" s="14" t="n">
        <v>46302</v>
      </c>
      <c r="N18" s="14" t="n">
        <v>46477</v>
      </c>
      <c r="O18" s="13" t="inlineStr">
        <is>
          <t>Memadai</t>
        </is>
      </c>
      <c r="P18" s="13" t="inlineStr">
        <is>
          <t>Efektif</t>
        </is>
      </c>
      <c r="Q18" s="13" t="inlineStr">
        <is>
          <t>Klasifikasi informasi 4 tingkat (Public, Internal, Confidential, Restricted) diterapkan pada sistem.</t>
        </is>
      </c>
      <c r="R18" s="13" t="inlineStr">
        <is>
          <t>Pertahankan efektivitas kontrol dan lakukan review operasional berkala</t>
        </is>
      </c>
      <c r="S18" s="13" t="inlineStr">
        <is>
          <t>Sedang</t>
        </is>
      </c>
      <c r="T18" s="14" t="n">
        <v>46477</v>
      </c>
      <c r="U18" s="13" t="inlineStr">
        <is>
          <t>Dimas (Group Vision)</t>
        </is>
      </c>
      <c r="V18" s="14" t="n">
        <v>46302</v>
      </c>
      <c r="W18" s="31">
        <f>IF(G18="Belum ditentukan","Tentukan relevansi",IF(G18="Tidak berlaku",IF(OR(H18="",U18="",V18=""),"Lengkapi justifikasi","Tercatat"),IF(OR(J18="",L18="",N18="",O18="",P18=""),"Lengkapi assessment",IF(AND(I18="Diterapkan",J18="Lengkap",O18="Memadai",P18="Efektif",OR(K18="",U18="",V18="")),"Lengkapi bukti/reviewer","Tercatat"))))</f>
        <v/>
      </c>
      <c r="X18" s="31">
        <f>IF(G18="Belum ditentukan","Belum dinilai",IF(G18="Tidak berlaku",IF(W18="Tercatat","Dikecualikan","Belum siap"),IF(AND(I18="Diterapkan",J18="Lengkap",O18="Memadai",P18="Efektif",W18="Tercatat"),"Siap","Belum siap")))</f>
        <v/>
      </c>
      <c r="Y18" s="31">
        <f>IF(G18="Belum ditentukan","Belum dijadwalkan",IF(N18="","Tanpa jadwal",IF(N18&lt;'Master Data'!$C$9,"Review lewat","Dalam jadwal")))</f>
        <v/>
      </c>
      <c r="Z18" s="31">
        <f>IF(X18="Belum dinilai","Belum dinilai",IF(AND(OR(X18="Siap",X18="Dikecualikan"),Y18="Dalam jadwal"),"Tidak","Ya"))</f>
        <v/>
      </c>
    </row>
    <row r="19" ht="63.95" customHeight="1">
      <c r="A19" s="1" t="n"/>
      <c r="B19" s="12" t="inlineStr">
        <is>
          <t>A.5.13</t>
        </is>
      </c>
      <c r="C19" s="32" t="inlineStr">
        <is>
          <t>Organizational</t>
        </is>
      </c>
      <c r="D19" s="32" t="inlineStr">
        <is>
          <t>Pelabelan informasi</t>
        </is>
      </c>
      <c r="E19" s="32" t="inlineStr">
        <is>
          <t>Label konsisten dengan skema klasifikasi dan media</t>
        </is>
      </c>
      <c r="F19" s="32" t="inlineStr">
        <is>
          <t>Prosedur label, sampel dokumen/email, konfigurasi DLP</t>
        </is>
      </c>
      <c r="G19" s="13" t="inlineStr">
        <is>
          <t>Berlaku</t>
        </is>
      </c>
      <c r="H19" s="13" t="inlineStr">
        <is>
          <t>Kontrol A.5.13 relevan dan wajib diterapkan pada platform operasional auditsphere.app.</t>
        </is>
      </c>
      <c r="I19" s="13" t="inlineStr">
        <is>
          <t>Diterapkan</t>
        </is>
      </c>
      <c r="J19" s="13" t="inlineStr">
        <is>
          <t>Lengkap</t>
        </is>
      </c>
      <c r="K19" s="13" t="inlineStr">
        <is>
          <t>SRC-frontend/pages/audit-result-reports</t>
        </is>
      </c>
      <c r="L19" s="13" t="inlineStr">
        <is>
          <t>Lead Developer</t>
        </is>
      </c>
      <c r="M19" s="14" t="n">
        <v>46302</v>
      </c>
      <c r="N19" s="14" t="n">
        <v>46477</v>
      </c>
      <c r="O19" s="13" t="inlineStr">
        <is>
          <t>Memadai</t>
        </is>
      </c>
      <c r="P19" s="13" t="inlineStr">
        <is>
          <t>Efektif</t>
        </is>
      </c>
      <c r="Q19" s="13" t="inlineStr">
        <is>
          <t>Dynamic watermark berisi identitas pengguna dan timestamp diterapkan pada dokumen unduhan audit.</t>
        </is>
      </c>
      <c r="R19" s="13" t="inlineStr">
        <is>
          <t>Pertahankan efektivitas kontrol dan lakukan review operasional berkala</t>
        </is>
      </c>
      <c r="S19" s="13" t="inlineStr">
        <is>
          <t>Sedang</t>
        </is>
      </c>
      <c r="T19" s="14" t="n">
        <v>46477</v>
      </c>
      <c r="U19" s="13" t="inlineStr">
        <is>
          <t>Dimas (Group Vision)</t>
        </is>
      </c>
      <c r="V19" s="14" t="n">
        <v>46302</v>
      </c>
      <c r="W19" s="31">
        <f>IF(G19="Belum ditentukan","Tentukan relevansi",IF(G19="Tidak berlaku",IF(OR(H19="",U19="",V19=""),"Lengkapi justifikasi","Tercatat"),IF(OR(J19="",L19="",N19="",O19="",P19=""),"Lengkapi assessment",IF(AND(I19="Diterapkan",J19="Lengkap",O19="Memadai",P19="Efektif",OR(K19="",U19="",V19="")),"Lengkapi bukti/reviewer","Tercatat"))))</f>
        <v/>
      </c>
      <c r="X19" s="31">
        <f>IF(G19="Belum ditentukan","Belum dinilai",IF(G19="Tidak berlaku",IF(W19="Tercatat","Dikecualikan","Belum siap"),IF(AND(I19="Diterapkan",J19="Lengkap",O19="Memadai",P19="Efektif",W19="Tercatat"),"Siap","Belum siap")))</f>
        <v/>
      </c>
      <c r="Y19" s="31">
        <f>IF(G19="Belum ditentukan","Belum dijadwalkan",IF(N19="","Tanpa jadwal",IF(N19&lt;'Master Data'!$C$9,"Review lewat","Dalam jadwal")))</f>
        <v/>
      </c>
      <c r="Z19" s="31">
        <f>IF(X19="Belum dinilai","Belum dinilai",IF(AND(OR(X19="Siap",X19="Dikecualikan"),Y19="Dalam jadwal"),"Tidak","Ya"))</f>
        <v/>
      </c>
    </row>
    <row r="20" ht="63.95" customHeight="1">
      <c r="A20" s="1" t="n"/>
      <c r="B20" s="12" t="inlineStr">
        <is>
          <t>A.5.14</t>
        </is>
      </c>
      <c r="C20" s="32" t="inlineStr">
        <is>
          <t>Organizational</t>
        </is>
      </c>
      <c r="D20" s="32" t="inlineStr">
        <is>
          <t>Transfer informasi</t>
        </is>
      </c>
      <c r="E20" s="32" t="inlineStr">
        <is>
          <t>Transfer internal dan eksternal memiliki aturan dan perlindungan</t>
        </is>
      </c>
      <c r="F20" s="32" t="inlineStr">
        <is>
          <t>Prosedur transfer, NDA, konfigurasi enkripsi, transfer log</t>
        </is>
      </c>
      <c r="G20" s="13" t="inlineStr">
        <is>
          <t>Berlaku</t>
        </is>
      </c>
      <c r="H20" s="13" t="inlineStr">
        <is>
          <t>Kontrol A.5.14 relevan dan wajib diterapkan pada platform operasional auditsphere.app.</t>
        </is>
      </c>
      <c r="I20" s="13" t="inlineStr">
        <is>
          <t>Diterapkan</t>
        </is>
      </c>
      <c r="J20" s="13" t="inlineStr">
        <is>
          <t>Lengkap</t>
        </is>
      </c>
      <c r="K20" s="13" t="inlineStr">
        <is>
          <t>TEC-Kong-TLS1.3-Config</t>
        </is>
      </c>
      <c r="L20" s="13" t="inlineStr">
        <is>
          <t>DevOps Lead</t>
        </is>
      </c>
      <c r="M20" s="14" t="n">
        <v>46302</v>
      </c>
      <c r="N20" s="14" t="n">
        <v>46477</v>
      </c>
      <c r="O20" s="13" t="inlineStr">
        <is>
          <t>Memadai</t>
        </is>
      </c>
      <c r="P20" s="13" t="inlineStr">
        <is>
          <t>Efektif</t>
        </is>
      </c>
      <c r="Q20" s="13" t="inlineStr">
        <is>
          <t>Enkripsi data in-transit TLS 1.3 ditegakkan pada seluruh rute API publik auditsphere.app.</t>
        </is>
      </c>
      <c r="R20" s="13" t="inlineStr">
        <is>
          <t>Pertahankan efektivitas kontrol dan lakukan review operasional berkala</t>
        </is>
      </c>
      <c r="S20" s="13" t="inlineStr">
        <is>
          <t>Sedang</t>
        </is>
      </c>
      <c r="T20" s="14" t="n">
        <v>46477</v>
      </c>
      <c r="U20" s="13" t="inlineStr">
        <is>
          <t>Dimas (Group Vision)</t>
        </is>
      </c>
      <c r="V20" s="14" t="n">
        <v>46302</v>
      </c>
      <c r="W20" s="31">
        <f>IF(G20="Belum ditentukan","Tentukan relevansi",IF(G20="Tidak berlaku",IF(OR(H20="",U20="",V20=""),"Lengkapi justifikasi","Tercatat"),IF(OR(J20="",L20="",N20="",O20="",P20=""),"Lengkapi assessment",IF(AND(I20="Diterapkan",J20="Lengkap",O20="Memadai",P20="Efektif",OR(K20="",U20="",V20="")),"Lengkapi bukti/reviewer","Tercatat"))))</f>
        <v/>
      </c>
      <c r="X20" s="31">
        <f>IF(G20="Belum ditentukan","Belum dinilai",IF(G20="Tidak berlaku",IF(W20="Tercatat","Dikecualikan","Belum siap"),IF(AND(I20="Diterapkan",J20="Lengkap",O20="Memadai",P20="Efektif",W20="Tercatat"),"Siap","Belum siap")))</f>
        <v/>
      </c>
      <c r="Y20" s="31">
        <f>IF(G20="Belum ditentukan","Belum dijadwalkan",IF(N20="","Tanpa jadwal",IF(N20&lt;'Master Data'!$C$9,"Review lewat","Dalam jadwal")))</f>
        <v/>
      </c>
      <c r="Z20" s="31">
        <f>IF(X20="Belum dinilai","Belum dinilai",IF(AND(OR(X20="Siap",X20="Dikecualikan"),Y20="Dalam jadwal"),"Tidak","Ya"))</f>
        <v/>
      </c>
    </row>
    <row r="21" ht="63.95" customHeight="1">
      <c r="A21" s="1" t="n"/>
      <c r="B21" s="12" t="inlineStr">
        <is>
          <t>A.5.15</t>
        </is>
      </c>
      <c r="C21" s="32" t="inlineStr">
        <is>
          <t>Organizational</t>
        </is>
      </c>
      <c r="D21" s="32" t="inlineStr">
        <is>
          <t>Pengendalian akses</t>
        </is>
      </c>
      <c r="E21" s="32" t="inlineStr">
        <is>
          <t>Aturan akses berbasis kebutuhan bisnis dan least privilege</t>
        </is>
      </c>
      <c r="F21" s="32" t="inlineStr">
        <is>
          <t>Access control policy, matriks akses, hasil review akses</t>
        </is>
      </c>
      <c r="G21" s="13" t="inlineStr">
        <is>
          <t>Berlaku</t>
        </is>
      </c>
      <c r="H21" s="13" t="inlineStr">
        <is>
          <t>Kontrol A.5.15 relevan dan wajib diterapkan pada platform operasional auditsphere.app.</t>
        </is>
      </c>
      <c r="I21" s="13" t="inlineStr">
        <is>
          <t>Diterapkan</t>
        </is>
      </c>
      <c r="J21" s="13" t="inlineStr">
        <is>
          <t>Lengkap</t>
        </is>
      </c>
      <c r="K21" s="13" t="inlineStr">
        <is>
          <t>SRC-backend/auth-service/pkg/middleware/auth.go</t>
        </is>
      </c>
      <c r="L21" s="13" t="inlineStr">
        <is>
          <t>Engineering Lead</t>
        </is>
      </c>
      <c r="M21" s="14" t="n">
        <v>46302</v>
      </c>
      <c r="N21" s="14" t="n">
        <v>46477</v>
      </c>
      <c r="O21" s="13" t="inlineStr">
        <is>
          <t>Memadai</t>
        </is>
      </c>
      <c r="P21" s="13" t="inlineStr">
        <is>
          <t>Efektif</t>
        </is>
      </c>
      <c r="Q21" s="13" t="inlineStr">
        <is>
          <t>Pengendalian akses least-privilege diterapkan pada middleware otorisasi backend Go.</t>
        </is>
      </c>
      <c r="R21" s="13" t="inlineStr">
        <is>
          <t>Pertahankan efektivitas kontrol dan lakukan review operasional berkala</t>
        </is>
      </c>
      <c r="S21" s="13" t="inlineStr">
        <is>
          <t>Sedang</t>
        </is>
      </c>
      <c r="T21" s="14" t="n">
        <v>46477</v>
      </c>
      <c r="U21" s="13" t="inlineStr">
        <is>
          <t>Dimas (Group Vision)</t>
        </is>
      </c>
      <c r="V21" s="14" t="n">
        <v>46302</v>
      </c>
      <c r="W21" s="31">
        <f>IF(G21="Belum ditentukan","Tentukan relevansi",IF(G21="Tidak berlaku",IF(OR(H21="",U21="",V21=""),"Lengkapi justifikasi","Tercatat"),IF(OR(J21="",L21="",N21="",O21="",P21=""),"Lengkapi assessment",IF(AND(I21="Diterapkan",J21="Lengkap",O21="Memadai",P21="Efektif",OR(K21="",U21="",V21="")),"Lengkapi bukti/reviewer","Tercatat"))))</f>
        <v/>
      </c>
      <c r="X21" s="31">
        <f>IF(G21="Belum ditentukan","Belum dinilai",IF(G21="Tidak berlaku",IF(W21="Tercatat","Dikecualikan","Belum siap"),IF(AND(I21="Diterapkan",J21="Lengkap",O21="Memadai",P21="Efektif",W21="Tercatat"),"Siap","Belum siap")))</f>
        <v/>
      </c>
      <c r="Y21" s="31">
        <f>IF(G21="Belum ditentukan","Belum dijadwalkan",IF(N21="","Tanpa jadwal",IF(N21&lt;'Master Data'!$C$9,"Review lewat","Dalam jadwal")))</f>
        <v/>
      </c>
      <c r="Z21" s="31">
        <f>IF(X21="Belum dinilai","Belum dinilai",IF(AND(OR(X21="Siap",X21="Dikecualikan"),Y21="Dalam jadwal"),"Tidak","Ya"))</f>
        <v/>
      </c>
    </row>
    <row r="22" ht="63.95" customHeight="1">
      <c r="A22" s="1" t="n"/>
      <c r="B22" s="12" t="inlineStr">
        <is>
          <t>A.5.16</t>
        </is>
      </c>
      <c r="C22" s="32" t="inlineStr">
        <is>
          <t>Organizational</t>
        </is>
      </c>
      <c r="D22" s="32" t="inlineStr">
        <is>
          <t>Manajemen identitas</t>
        </is>
      </c>
      <c r="E22" s="32" t="inlineStr">
        <is>
          <t>Siklus hidup identitas dikelola dari pembuatan hingga penghapusan</t>
        </is>
      </c>
      <c r="F22" s="32" t="inlineStr">
        <is>
          <t>Prosedur IAM, joiner-mover-leaver log, daftar akun</t>
        </is>
      </c>
      <c r="G22" s="13" t="inlineStr">
        <is>
          <t>Berlaku</t>
        </is>
      </c>
      <c r="H22" s="13" t="inlineStr">
        <is>
          <t>Kontrol A.5.16 relevan dan wajib diterapkan pada platform operasional auditsphere.app.</t>
        </is>
      </c>
      <c r="I22" s="13" t="inlineStr">
        <is>
          <t>Diterapkan</t>
        </is>
      </c>
      <c r="J22" s="13" t="inlineStr">
        <is>
          <t>Lengkap</t>
        </is>
      </c>
      <c r="K22" s="13" t="inlineStr">
        <is>
          <t>SRC-backend/auth-service/services/user</t>
        </is>
      </c>
      <c r="L22" s="13" t="inlineStr">
        <is>
          <t>Engineering Lead</t>
        </is>
      </c>
      <c r="M22" s="14" t="n">
        <v>46302</v>
      </c>
      <c r="N22" s="14" t="n">
        <v>46477</v>
      </c>
      <c r="O22" s="13" t="inlineStr">
        <is>
          <t>Memadai</t>
        </is>
      </c>
      <c r="P22" s="13" t="inlineStr">
        <is>
          <t>Efektif</t>
        </is>
      </c>
      <c r="Q22" s="13" t="inlineStr">
        <is>
          <t>Manajemen siklus hidup akun pengguna, registrasi, penguncian lockout 5x gagal, dan deaktifasi.</t>
        </is>
      </c>
      <c r="R22" s="13" t="inlineStr">
        <is>
          <t>Pertahankan efektivitas kontrol dan lakukan review operasional berkala</t>
        </is>
      </c>
      <c r="S22" s="13" t="inlineStr">
        <is>
          <t>Sedang</t>
        </is>
      </c>
      <c r="T22" s="14" t="n">
        <v>46477</v>
      </c>
      <c r="U22" s="13" t="inlineStr">
        <is>
          <t>Dimas (Group Vision)</t>
        </is>
      </c>
      <c r="V22" s="14" t="n">
        <v>46302</v>
      </c>
      <c r="W22" s="31">
        <f>IF(G22="Belum ditentukan","Tentukan relevansi",IF(G22="Tidak berlaku",IF(OR(H22="",U22="",V22=""),"Lengkapi justifikasi","Tercatat"),IF(OR(J22="",L22="",N22="",O22="",P22=""),"Lengkapi assessment",IF(AND(I22="Diterapkan",J22="Lengkap",O22="Memadai",P22="Efektif",OR(K22="",U22="",V22="")),"Lengkapi bukti/reviewer","Tercatat"))))</f>
        <v/>
      </c>
      <c r="X22" s="31">
        <f>IF(G22="Belum ditentukan","Belum dinilai",IF(G22="Tidak berlaku",IF(W22="Tercatat","Dikecualikan","Belum siap"),IF(AND(I22="Diterapkan",J22="Lengkap",O22="Memadai",P22="Efektif",W22="Tercatat"),"Siap","Belum siap")))</f>
        <v/>
      </c>
      <c r="Y22" s="31">
        <f>IF(G22="Belum ditentukan","Belum dijadwalkan",IF(N22="","Tanpa jadwal",IF(N22&lt;'Master Data'!$C$9,"Review lewat","Dalam jadwal")))</f>
        <v/>
      </c>
      <c r="Z22" s="31">
        <f>IF(X22="Belum dinilai","Belum dinilai",IF(AND(OR(X22="Siap",X22="Dikecualikan"),Y22="Dalam jadwal"),"Tidak","Ya"))</f>
        <v/>
      </c>
    </row>
    <row r="23" ht="63.95" customHeight="1">
      <c r="A23" s="1" t="n"/>
      <c r="B23" s="12" t="inlineStr">
        <is>
          <t>A.5.17</t>
        </is>
      </c>
      <c r="C23" s="32" t="inlineStr">
        <is>
          <t>Organizational</t>
        </is>
      </c>
      <c r="D23" s="32" t="inlineStr">
        <is>
          <t>Informasi autentikasi</t>
        </is>
      </c>
      <c r="E23" s="32" t="inlineStr">
        <is>
          <t>Kredensial diterbitkan, disimpan, dan digunakan secara aman</t>
        </is>
      </c>
      <c r="F23" s="32" t="inlineStr">
        <is>
          <t>Password/MFA policy, konfigurasi, proses reset, sampel log</t>
        </is>
      </c>
      <c r="G23" s="13" t="inlineStr">
        <is>
          <t>Berlaku</t>
        </is>
      </c>
      <c r="H23" s="13" t="inlineStr">
        <is>
          <t>Kontrol A.5.17 relevan dan wajib diterapkan pada platform operasional auditsphere.app.</t>
        </is>
      </c>
      <c r="I23" s="13" t="inlineStr">
        <is>
          <t>Diterapkan</t>
        </is>
      </c>
      <c r="J23" s="13" t="inlineStr">
        <is>
          <t>Lengkap</t>
        </is>
      </c>
      <c r="K23" s="13" t="inlineStr">
        <is>
          <t>SRC-backend/auth-service/pkg/utils/password.go</t>
        </is>
      </c>
      <c r="L23" s="13" t="inlineStr">
        <is>
          <t>Lead Developer</t>
        </is>
      </c>
      <c r="M23" s="14" t="n">
        <v>46302</v>
      </c>
      <c r="N23" s="14" t="n">
        <v>46477</v>
      </c>
      <c r="O23" s="13" t="inlineStr">
        <is>
          <t>Memadai</t>
        </is>
      </c>
      <c r="P23" s="13" t="inlineStr">
        <is>
          <t>Efektif</t>
        </is>
      </c>
      <c r="Q23" s="13" t="inlineStr">
        <is>
          <t>Hashing kredensial menggunakan bcrypt dan perlindungan secret MFA TOTP di database terenkripsi.</t>
        </is>
      </c>
      <c r="R23" s="13" t="inlineStr">
        <is>
          <t>Pertahankan efektivitas kontrol dan lakukan review operasional berkala</t>
        </is>
      </c>
      <c r="S23" s="13" t="inlineStr">
        <is>
          <t>Sedang</t>
        </is>
      </c>
      <c r="T23" s="14" t="n">
        <v>46477</v>
      </c>
      <c r="U23" s="13" t="inlineStr">
        <is>
          <t>Dimas (Group Vision)</t>
        </is>
      </c>
      <c r="V23" s="14" t="n">
        <v>46302</v>
      </c>
      <c r="W23" s="31">
        <f>IF(G23="Belum ditentukan","Tentukan relevansi",IF(G23="Tidak berlaku",IF(OR(H23="",U23="",V23=""),"Lengkapi justifikasi","Tercatat"),IF(OR(J23="",L23="",N23="",O23="",P23=""),"Lengkapi assessment",IF(AND(I23="Diterapkan",J23="Lengkap",O23="Memadai",P23="Efektif",OR(K23="",U23="",V23="")),"Lengkapi bukti/reviewer","Tercatat"))))</f>
        <v/>
      </c>
      <c r="X23" s="31">
        <f>IF(G23="Belum ditentukan","Belum dinilai",IF(G23="Tidak berlaku",IF(W23="Tercatat","Dikecualikan","Belum siap"),IF(AND(I23="Diterapkan",J23="Lengkap",O23="Memadai",P23="Efektif",W23="Tercatat"),"Siap","Belum siap")))</f>
        <v/>
      </c>
      <c r="Y23" s="31">
        <f>IF(G23="Belum ditentukan","Belum dijadwalkan",IF(N23="","Tanpa jadwal",IF(N23&lt;'Master Data'!$C$9,"Review lewat","Dalam jadwal")))</f>
        <v/>
      </c>
      <c r="Z23" s="31">
        <f>IF(X23="Belum dinilai","Belum dinilai",IF(AND(OR(X23="Siap",X23="Dikecualikan"),Y23="Dalam jadwal"),"Tidak","Ya"))</f>
        <v/>
      </c>
    </row>
    <row r="24" ht="63.95" customHeight="1">
      <c r="A24" s="1" t="n"/>
      <c r="B24" s="12" t="inlineStr">
        <is>
          <t>A.5.18</t>
        </is>
      </c>
      <c r="C24" s="32" t="inlineStr">
        <is>
          <t>Organizational</t>
        </is>
      </c>
      <c r="D24" s="32" t="inlineStr">
        <is>
          <t>Hak akses</t>
        </is>
      </c>
      <c r="E24" s="32" t="inlineStr">
        <is>
          <t>Pemberian, perubahan, review, dan pencabutan akses dikendalikan</t>
        </is>
      </c>
      <c r="F24" s="32" t="inlineStr">
        <is>
          <t>Form akses, approval, recertification report, tiket pencabutan</t>
        </is>
      </c>
      <c r="G24" s="13" t="inlineStr">
        <is>
          <t>Berlaku</t>
        </is>
      </c>
      <c r="H24" s="13" t="inlineStr">
        <is>
          <t>Kontrol A.5.18 relevan dan wajib diterapkan pada platform operasional auditsphere.app.</t>
        </is>
      </c>
      <c r="I24" s="13" t="inlineStr">
        <is>
          <t>Diterapkan</t>
        </is>
      </c>
      <c r="J24" s="13" t="inlineStr">
        <is>
          <t>Lengkap</t>
        </is>
      </c>
      <c r="K24" s="13" t="inlineStr">
        <is>
          <t>SRC-backend/auth-service/controllers/auth</t>
        </is>
      </c>
      <c r="L24" s="13" t="inlineStr">
        <is>
          <t>Engineering Lead</t>
        </is>
      </c>
      <c r="M24" s="14" t="n">
        <v>46302</v>
      </c>
      <c r="N24" s="14" t="n">
        <v>46477</v>
      </c>
      <c r="O24" s="13" t="inlineStr">
        <is>
          <t>Memadai</t>
        </is>
      </c>
      <c r="P24" s="13" t="inlineStr">
        <is>
          <t>Efektif</t>
        </is>
      </c>
      <c r="Q24" s="13" t="inlineStr">
        <is>
          <t>Pemberian dan pencabutan hak akses terkelola terpusat dengan jadwal evaluasi berkala.</t>
        </is>
      </c>
      <c r="R24" s="13" t="inlineStr">
        <is>
          <t>Pertahankan efektivitas kontrol dan lakukan review operasional berkala</t>
        </is>
      </c>
      <c r="S24" s="13" t="inlineStr">
        <is>
          <t>Sedang</t>
        </is>
      </c>
      <c r="T24" s="14" t="n">
        <v>46477</v>
      </c>
      <c r="U24" s="13" t="inlineStr">
        <is>
          <t>Dimas (Group Vision)</t>
        </is>
      </c>
      <c r="V24" s="14" t="n">
        <v>46302</v>
      </c>
      <c r="W24" s="31">
        <f>IF(G24="Belum ditentukan","Tentukan relevansi",IF(G24="Tidak berlaku",IF(OR(H24="",U24="",V24=""),"Lengkapi justifikasi","Tercatat"),IF(OR(J24="",L24="",N24="",O24="",P24=""),"Lengkapi assessment",IF(AND(I24="Diterapkan",J24="Lengkap",O24="Memadai",P24="Efektif",OR(K24="",U24="",V24="")),"Lengkapi bukti/reviewer","Tercatat"))))</f>
        <v/>
      </c>
      <c r="X24" s="31">
        <f>IF(G24="Belum ditentukan","Belum dinilai",IF(G24="Tidak berlaku",IF(W24="Tercatat","Dikecualikan","Belum siap"),IF(AND(I24="Diterapkan",J24="Lengkap",O24="Memadai",P24="Efektif",W24="Tercatat"),"Siap","Belum siap")))</f>
        <v/>
      </c>
      <c r="Y24" s="31">
        <f>IF(G24="Belum ditentukan","Belum dijadwalkan",IF(N24="","Tanpa jadwal",IF(N24&lt;'Master Data'!$C$9,"Review lewat","Dalam jadwal")))</f>
        <v/>
      </c>
      <c r="Z24" s="31">
        <f>IF(X24="Belum dinilai","Belum dinilai",IF(AND(OR(X24="Siap",X24="Dikecualikan"),Y24="Dalam jadwal"),"Tidak","Ya"))</f>
        <v/>
      </c>
    </row>
    <row r="25" ht="63.95" customHeight="1">
      <c r="A25" s="1" t="n"/>
      <c r="B25" s="12" t="inlineStr">
        <is>
          <t>A.5.19</t>
        </is>
      </c>
      <c r="C25" s="32" t="inlineStr">
        <is>
          <t>Organizational</t>
        </is>
      </c>
      <c r="D25" s="32" t="inlineStr">
        <is>
          <t>Keamanan dalam hubungan pemasok</t>
        </is>
      </c>
      <c r="E25" s="32" t="inlineStr">
        <is>
          <t>Risiko keamanan pemasok dinilai dan dikelola</t>
        </is>
      </c>
      <c r="F25" s="32" t="inlineStr">
        <is>
          <t>Vendor risk assessment, klasifikasi vendor, due diligence</t>
        </is>
      </c>
      <c r="G25" s="13" t="inlineStr">
        <is>
          <t>Berlaku</t>
        </is>
      </c>
      <c r="H25" s="13" t="inlineStr">
        <is>
          <t>Kontrol A.5.19 relevan dan wajib diterapkan pada platform operasional auditsphere.app.</t>
        </is>
      </c>
      <c r="I25" s="13" t="inlineStr">
        <is>
          <t>Diterapkan</t>
        </is>
      </c>
      <c r="J25" s="13" t="inlineStr">
        <is>
          <t>Lengkap</t>
        </is>
      </c>
      <c r="K25" s="13" t="inlineStr">
        <is>
          <t>DOC-CPA-001_Cloud_Provider_Assessment</t>
        </is>
      </c>
      <c r="L25" s="13" t="inlineStr">
        <is>
          <t>DevOps Lead</t>
        </is>
      </c>
      <c r="M25" s="14" t="n">
        <v>46302</v>
      </c>
      <c r="N25" s="14" t="n">
        <v>46477</v>
      </c>
      <c r="O25" s="13" t="inlineStr">
        <is>
          <t>Memadai</t>
        </is>
      </c>
      <c r="P25" s="13" t="inlineStr">
        <is>
          <t>Efektif</t>
        </is>
      </c>
      <c r="Q25" s="13" t="inlineStr">
        <is>
          <t>Asesmen risiko penyedia cloud (CPA-001) dilakukan sebelum pengadaan infrastruktur.</t>
        </is>
      </c>
      <c r="R25" s="13" t="inlineStr">
        <is>
          <t>Pertahankan efektivitas kontrol dan lakukan review operasional berkala</t>
        </is>
      </c>
      <c r="S25" s="13" t="inlineStr">
        <is>
          <t>Sedang</t>
        </is>
      </c>
      <c r="T25" s="14" t="n">
        <v>46477</v>
      </c>
      <c r="U25" s="13" t="inlineStr">
        <is>
          <t>Dimas (Group Vision)</t>
        </is>
      </c>
      <c r="V25" s="14" t="n">
        <v>46302</v>
      </c>
      <c r="W25" s="31">
        <f>IF(G25="Belum ditentukan","Tentukan relevansi",IF(G25="Tidak berlaku",IF(OR(H25="",U25="",V25=""),"Lengkapi justifikasi","Tercatat"),IF(OR(J25="",L25="",N25="",O25="",P25=""),"Lengkapi assessment",IF(AND(I25="Diterapkan",J25="Lengkap",O25="Memadai",P25="Efektif",OR(K25="",U25="",V25="")),"Lengkapi bukti/reviewer","Tercatat"))))</f>
        <v/>
      </c>
      <c r="X25" s="31">
        <f>IF(G25="Belum ditentukan","Belum dinilai",IF(G25="Tidak berlaku",IF(W25="Tercatat","Dikecualikan","Belum siap"),IF(AND(I25="Diterapkan",J25="Lengkap",O25="Memadai",P25="Efektif",W25="Tercatat"),"Siap","Belum siap")))</f>
        <v/>
      </c>
      <c r="Y25" s="31">
        <f>IF(G25="Belum ditentukan","Belum dijadwalkan",IF(N25="","Tanpa jadwal",IF(N25&lt;'Master Data'!$C$9,"Review lewat","Dalam jadwal")))</f>
        <v/>
      </c>
      <c r="Z25" s="31">
        <f>IF(X25="Belum dinilai","Belum dinilai",IF(AND(OR(X25="Siap",X25="Dikecualikan"),Y25="Dalam jadwal"),"Tidak","Ya"))</f>
        <v/>
      </c>
    </row>
    <row r="26" ht="63.95" customHeight="1">
      <c r="A26" s="1" t="n"/>
      <c r="B26" s="12" t="inlineStr">
        <is>
          <t>A.5.20</t>
        </is>
      </c>
      <c r="C26" s="32" t="inlineStr">
        <is>
          <t>Organizational</t>
        </is>
      </c>
      <c r="D26" s="32" t="inlineStr">
        <is>
          <t>Keamanan dalam perjanjian pemasok</t>
        </is>
      </c>
      <c r="E26" s="32" t="inlineStr">
        <is>
          <t>Persyaratan keamanan dimasukkan ke kontrak pemasok</t>
        </is>
      </c>
      <c r="F26" s="32" t="inlineStr">
        <is>
          <t>Kontrak, SLA, DPA, security schedule, daftar klausul</t>
        </is>
      </c>
      <c r="G26" s="13" t="inlineStr">
        <is>
          <t>Berlaku</t>
        </is>
      </c>
      <c r="H26" s="13" t="inlineStr">
        <is>
          <t>Kontrol A.5.20 relevan dan wajib diterapkan pada platform operasional auditsphere.app.</t>
        </is>
      </c>
      <c r="I26" s="13" t="inlineStr">
        <is>
          <t>Diterapkan</t>
        </is>
      </c>
      <c r="J26" s="13" t="inlineStr">
        <is>
          <t>Lengkap</t>
        </is>
      </c>
      <c r="K26" s="13" t="inlineStr">
        <is>
          <t>DOC-CPA-001-DPA-Annex</t>
        </is>
      </c>
      <c r="L26" s="13" t="inlineStr">
        <is>
          <t>Legal Counsel</t>
        </is>
      </c>
      <c r="M26" s="14" t="n">
        <v>46302</v>
      </c>
      <c r="N26" s="14" t="n">
        <v>46477</v>
      </c>
      <c r="O26" s="13" t="inlineStr">
        <is>
          <t>Memadai</t>
        </is>
      </c>
      <c r="P26" s="13" t="inlineStr">
        <is>
          <t>Efektif</t>
        </is>
      </c>
      <c r="Q26" s="13" t="inlineStr">
        <is>
          <t>Perjanjian pemrosesan data (DPA) dan kepatuhan UU PDP No. 27/2022 tercantum dalam kontrak vendor.</t>
        </is>
      </c>
      <c r="R26" s="13" t="inlineStr">
        <is>
          <t>Pertahankan efektivitas kontrol dan lakukan review operasional berkala</t>
        </is>
      </c>
      <c r="S26" s="13" t="inlineStr">
        <is>
          <t>Sedang</t>
        </is>
      </c>
      <c r="T26" s="14" t="n">
        <v>46477</v>
      </c>
      <c r="U26" s="13" t="inlineStr">
        <is>
          <t>Dimas (Group Vision)</t>
        </is>
      </c>
      <c r="V26" s="14" t="n">
        <v>46302</v>
      </c>
      <c r="W26" s="31">
        <f>IF(G26="Belum ditentukan","Tentukan relevansi",IF(G26="Tidak berlaku",IF(OR(H26="",U26="",V26=""),"Lengkapi justifikasi","Tercatat"),IF(OR(J26="",L26="",N26="",O26="",P26=""),"Lengkapi assessment",IF(AND(I26="Diterapkan",J26="Lengkap",O26="Memadai",P26="Efektif",OR(K26="",U26="",V26="")),"Lengkapi bukti/reviewer","Tercatat"))))</f>
        <v/>
      </c>
      <c r="X26" s="31">
        <f>IF(G26="Belum ditentukan","Belum dinilai",IF(G26="Tidak berlaku",IF(W26="Tercatat","Dikecualikan","Belum siap"),IF(AND(I26="Diterapkan",J26="Lengkap",O26="Memadai",P26="Efektif",W26="Tercatat"),"Siap","Belum siap")))</f>
        <v/>
      </c>
      <c r="Y26" s="31">
        <f>IF(G26="Belum ditentukan","Belum dijadwalkan",IF(N26="","Tanpa jadwal",IF(N26&lt;'Master Data'!$C$9,"Review lewat","Dalam jadwal")))</f>
        <v/>
      </c>
      <c r="Z26" s="31">
        <f>IF(X26="Belum dinilai","Belum dinilai",IF(AND(OR(X26="Siap",X26="Dikecualikan"),Y26="Dalam jadwal"),"Tidak","Ya"))</f>
        <v/>
      </c>
    </row>
    <row r="27" ht="63.95" customHeight="1">
      <c r="A27" s="1" t="n"/>
      <c r="B27" s="12" t="inlineStr">
        <is>
          <t>A.5.21</t>
        </is>
      </c>
      <c r="C27" s="32" t="inlineStr">
        <is>
          <t>Organizational</t>
        </is>
      </c>
      <c r="D27" s="32" t="inlineStr">
        <is>
          <t>Keamanan rantai pasok TIK</t>
        </is>
      </c>
      <c r="E27" s="32" t="inlineStr">
        <is>
          <t>Risiko sepanjang rantai pasok produk dan layanan TIK dikendalikan</t>
        </is>
      </c>
      <c r="F27" s="32" t="inlineStr">
        <is>
          <t>Supply-chain assessment, SBOM, persyaratan subkontraktor</t>
        </is>
      </c>
      <c r="G27" s="13" t="inlineStr">
        <is>
          <t>Berlaku</t>
        </is>
      </c>
      <c r="H27" s="13" t="inlineStr">
        <is>
          <t>Mencegah dependensi berbahaya dan supply chain attack pada ekosistem pustaka open-source.</t>
        </is>
      </c>
      <c r="I27" s="13" t="n"/>
      <c r="J27" s="13" t="n"/>
      <c r="K27" s="13" t="n"/>
      <c r="L27" s="13" t="inlineStr">
        <is>
          <t>DevOps Lead</t>
        </is>
      </c>
      <c r="M27" s="14" t="n">
        <v>46302</v>
      </c>
      <c r="N27" s="14" t="n">
        <v>46356</v>
      </c>
      <c r="O27" s="13" t="n"/>
      <c r="P27" s="13" t="n"/>
      <c r="Q27" s="13" t="inlineStr">
        <is>
          <t>Pipeline build belum dilengkapi scanner kerentanan dependensi otomatis (Trivy/Snyk) dan penandatanganan digital image kontainer (Cosign).</t>
        </is>
      </c>
      <c r="R27" s="13" t="inlineStr">
        <is>
          <t>Rekomendasi: Tambahkan langkah otomatisasi pada pipeline GitHub Actions untuk Trivy vulnerability scanning dan penandatanganan image kontainer menggunakan Cosign sebelum push ke VPS.</t>
        </is>
      </c>
      <c r="S27" s="13" t="inlineStr">
        <is>
          <t>Tinggi</t>
        </is>
      </c>
      <c r="T27" s="14" t="n">
        <v>46356</v>
      </c>
      <c r="U27" s="13" t="n"/>
      <c r="V27" s="14" t="n"/>
      <c r="W27" s="31">
        <f>IF(G27="Belum ditentukan","Tentukan relevansi",IF(G27="Tidak berlaku",IF(OR(H27="",U27="",V27=""),"Lengkapi justifikasi","Tercatat"),IF(OR(J27="",L27="",N27="",O27="",P27=""),"Lengkapi assessment",IF(AND(I27="Diterapkan",J27="Lengkap",O27="Memadai",P27="Efektif",OR(K27="",U27="",V27="")),"Lengkapi bukti/reviewer","Tercatat"))))</f>
        <v/>
      </c>
      <c r="X27" s="31">
        <f>IF(G27="Belum ditentukan","Belum dinilai",IF(G27="Tidak berlaku",IF(W27="Tercatat","Dikecualikan","Belum siap"),IF(AND(I27="Diterapkan",J27="Lengkap",O27="Memadai",P27="Efektif",W27="Tercatat"),"Siap","Belum siap")))</f>
        <v/>
      </c>
      <c r="Y27" s="31">
        <f>IF(G27="Belum ditentukan","Belum dijadwalkan",IF(N27="","Tanpa jadwal",IF(N27&lt;'Master Data'!$C$9,"Review lewat","Dalam jadwal")))</f>
        <v/>
      </c>
      <c r="Z27" s="31">
        <f>IF(X27="Belum dinilai","Belum dinilai",IF(AND(OR(X27="Siap",X27="Dikecualikan"),Y27="Dalam jadwal"),"Tidak","Ya"))</f>
        <v/>
      </c>
    </row>
    <row r="28" ht="63.95" customHeight="1">
      <c r="A28" s="1" t="n"/>
      <c r="B28" s="12" t="inlineStr">
        <is>
          <t>A.5.22</t>
        </is>
      </c>
      <c r="C28" s="32" t="inlineStr">
        <is>
          <t>Organizational</t>
        </is>
      </c>
      <c r="D28" s="32" t="inlineStr">
        <is>
          <t>Pemantauan dan perubahan layanan pemasok</t>
        </is>
      </c>
      <c r="E28" s="32" t="inlineStr">
        <is>
          <t>Kinerja, perubahan, dan kepatuhan pemasok direview</t>
        </is>
      </c>
      <c r="F28" s="32" t="inlineStr">
        <is>
          <t>SLA report, review meeting, change notice, action log</t>
        </is>
      </c>
      <c r="G28" s="13" t="inlineStr">
        <is>
          <t>Berlaku</t>
        </is>
      </c>
      <c r="H28" s="13" t="inlineStr">
        <is>
          <t>Kontrol A.5.22 relevan dan wajib diterapkan pada platform operasional auditsphere.app.</t>
        </is>
      </c>
      <c r="I28" s="13" t="inlineStr">
        <is>
          <t>Diterapkan</t>
        </is>
      </c>
      <c r="J28" s="13" t="inlineStr">
        <is>
          <t>Lengkap</t>
        </is>
      </c>
      <c r="K28" s="13" t="inlineStr">
        <is>
          <t>DOC-CPA-001-Sec6-Monitoring</t>
        </is>
      </c>
      <c r="L28" s="13" t="inlineStr">
        <is>
          <t>DevOps Lead</t>
        </is>
      </c>
      <c r="M28" s="14" t="n">
        <v>46302</v>
      </c>
      <c r="N28" s="14" t="n">
        <v>46477</v>
      </c>
      <c r="O28" s="13" t="inlineStr">
        <is>
          <t>Memadai</t>
        </is>
      </c>
      <c r="P28" s="13" t="inlineStr">
        <is>
          <t>Efektif</t>
        </is>
      </c>
      <c r="Q28" s="13" t="inlineStr">
        <is>
          <t>Pemantauan status operasional dan audit kepatuhan tahunan vendor cloud terjadwal resmi.</t>
        </is>
      </c>
      <c r="R28" s="13" t="inlineStr">
        <is>
          <t>Pertahankan efektivitas kontrol dan lakukan review operasional berkala</t>
        </is>
      </c>
      <c r="S28" s="13" t="inlineStr">
        <is>
          <t>Sedang</t>
        </is>
      </c>
      <c r="T28" s="14" t="n">
        <v>46477</v>
      </c>
      <c r="U28" s="13" t="inlineStr">
        <is>
          <t>Dimas (Group Vision)</t>
        </is>
      </c>
      <c r="V28" s="14" t="n">
        <v>46302</v>
      </c>
      <c r="W28" s="31">
        <f>IF(G28="Belum ditentukan","Tentukan relevansi",IF(G28="Tidak berlaku",IF(OR(H28="",U28="",V28=""),"Lengkapi justifikasi","Tercatat"),IF(OR(J28="",L28="",N28="",O28="",P28=""),"Lengkapi assessment",IF(AND(I28="Diterapkan",J28="Lengkap",O28="Memadai",P28="Efektif",OR(K28="",U28="",V28="")),"Lengkapi bukti/reviewer","Tercatat"))))</f>
        <v/>
      </c>
      <c r="X28" s="31">
        <f>IF(G28="Belum ditentukan","Belum dinilai",IF(G28="Tidak berlaku",IF(W28="Tercatat","Dikecualikan","Belum siap"),IF(AND(I28="Diterapkan",J28="Lengkap",O28="Memadai",P28="Efektif",W28="Tercatat"),"Siap","Belum siap")))</f>
        <v/>
      </c>
      <c r="Y28" s="31">
        <f>IF(G28="Belum ditentukan","Belum dijadwalkan",IF(N28="","Tanpa jadwal",IF(N28&lt;'Master Data'!$C$9,"Review lewat","Dalam jadwal")))</f>
        <v/>
      </c>
      <c r="Z28" s="31">
        <f>IF(X28="Belum dinilai","Belum dinilai",IF(AND(OR(X28="Siap",X28="Dikecualikan"),Y28="Dalam jadwal"),"Tidak","Ya"))</f>
        <v/>
      </c>
    </row>
    <row r="29" ht="63.95" customHeight="1">
      <c r="A29" s="1" t="n"/>
      <c r="B29" s="12" t="inlineStr">
        <is>
          <t>A.5.23</t>
        </is>
      </c>
      <c r="C29" s="32" t="inlineStr">
        <is>
          <t>Organizational</t>
        </is>
      </c>
      <c r="D29" s="32" t="inlineStr">
        <is>
          <t>Keamanan penggunaan layanan cloud</t>
        </is>
      </c>
      <c r="E29" s="32" t="inlineStr">
        <is>
          <t>Akuisisi, penggunaan, perubahan, dan exit cloud dikelola</t>
        </is>
      </c>
      <c r="F29" s="32" t="inlineStr">
        <is>
          <t>Cloud policy, CSP assessment, konfigurasi, exit plan</t>
        </is>
      </c>
      <c r="G29" s="13" t="inlineStr">
        <is>
          <t>Berlaku</t>
        </is>
      </c>
      <c r="H29" s="13" t="inlineStr">
        <is>
          <t>Kontrol A.5.23 relevan dan wajib diterapkan pada platform operasional auditsphere.app.</t>
        </is>
      </c>
      <c r="I29" s="13" t="inlineStr">
        <is>
          <t>Diterapkan</t>
        </is>
      </c>
      <c r="J29" s="13" t="inlineStr">
        <is>
          <t>Lengkap</t>
        </is>
      </c>
      <c r="K29" s="13" t="inlineStr">
        <is>
          <t>DOC-CSP-001_Cloud_Security_Policy</t>
        </is>
      </c>
      <c r="L29" s="13" t="inlineStr">
        <is>
          <t>DevOps Lead</t>
        </is>
      </c>
      <c r="M29" s="14" t="n">
        <v>46302</v>
      </c>
      <c r="N29" s="14" t="n">
        <v>46477</v>
      </c>
      <c r="O29" s="13" t="inlineStr">
        <is>
          <t>Memadai</t>
        </is>
      </c>
      <c r="P29" s="13" t="inlineStr">
        <is>
          <t>Efektif</t>
        </is>
      </c>
      <c r="Q29" s="13" t="inlineStr">
        <is>
          <t>Paket tata kelola cloud (CSP-001, CSRM-001, CPA-001, CES-001) telah disahkan dan diimplementasikan.</t>
        </is>
      </c>
      <c r="R29" s="13" t="inlineStr">
        <is>
          <t>Pertahankan efektivitas kontrol dan lakukan review operasional berkala</t>
        </is>
      </c>
      <c r="S29" s="13" t="inlineStr">
        <is>
          <t>Sedang</t>
        </is>
      </c>
      <c r="T29" s="14" t="n">
        <v>46477</v>
      </c>
      <c r="U29" s="13" t="inlineStr">
        <is>
          <t>Dimas (Group Vision)</t>
        </is>
      </c>
      <c r="V29" s="14" t="n">
        <v>46302</v>
      </c>
      <c r="W29" s="31">
        <f>IF(G29="Belum ditentukan","Tentukan relevansi",IF(G29="Tidak berlaku",IF(OR(H29="",U29="",V29=""),"Lengkapi justifikasi","Tercatat"),IF(OR(J29="",L29="",N29="",O29="",P29=""),"Lengkapi assessment",IF(AND(I29="Diterapkan",J29="Lengkap",O29="Memadai",P29="Efektif",OR(K29="",U29="",V29="")),"Lengkapi bukti/reviewer","Tercatat"))))</f>
        <v/>
      </c>
      <c r="X29" s="31">
        <f>IF(G29="Belum ditentukan","Belum dinilai",IF(G29="Tidak berlaku",IF(W29="Tercatat","Dikecualikan","Belum siap"),IF(AND(I29="Diterapkan",J29="Lengkap",O29="Memadai",P29="Efektif",W29="Tercatat"),"Siap","Belum siap")))</f>
        <v/>
      </c>
      <c r="Y29" s="31">
        <f>IF(G29="Belum ditentukan","Belum dijadwalkan",IF(N29="","Tanpa jadwal",IF(N29&lt;'Master Data'!$C$9,"Review lewat","Dalam jadwal")))</f>
        <v/>
      </c>
      <c r="Z29" s="31">
        <f>IF(X29="Belum dinilai","Belum dinilai",IF(AND(OR(X29="Siap",X29="Dikecualikan"),Y29="Dalam jadwal"),"Tidak","Ya"))</f>
        <v/>
      </c>
    </row>
    <row r="30" ht="63.95" customHeight="1">
      <c r="A30" s="1" t="n"/>
      <c r="B30" s="12" t="inlineStr">
        <is>
          <t>A.5.24</t>
        </is>
      </c>
      <c r="C30" s="32" t="inlineStr">
        <is>
          <t>Organizational</t>
        </is>
      </c>
      <c r="D30" s="32" t="inlineStr">
        <is>
          <t>Persiapan manajemen insiden</t>
        </is>
      </c>
      <c r="E30" s="32" t="inlineStr">
        <is>
          <t>Peran, proses, kanal, dan alat respons insiden siap digunakan</t>
        </is>
      </c>
      <c r="F30" s="32" t="inlineStr">
        <is>
          <t>IR plan, playbook, contact tree, hasil simulasi</t>
        </is>
      </c>
      <c r="G30" s="13" t="inlineStr">
        <is>
          <t>Berlaku</t>
        </is>
      </c>
      <c r="H30" s="13" t="inlineStr">
        <is>
          <t>Kontrol A.5.24 relevan dan wajib diterapkan pada platform operasional auditsphere.app.</t>
        </is>
      </c>
      <c r="I30" s="13" t="inlineStr">
        <is>
          <t>Diterapkan</t>
        </is>
      </c>
      <c r="J30" s="13" t="inlineStr">
        <is>
          <t>Lengkap</t>
        </is>
      </c>
      <c r="K30" s="13" t="inlineStr">
        <is>
          <t>DOC-ISO-AS-001-Sec11</t>
        </is>
      </c>
      <c r="L30" s="13" t="inlineStr">
        <is>
          <t>Incident Response Lead</t>
        </is>
      </c>
      <c r="M30" s="14" t="n">
        <v>46302</v>
      </c>
      <c r="N30" s="14" t="n">
        <v>46477</v>
      </c>
      <c r="O30" s="13" t="inlineStr">
        <is>
          <t>Memadai</t>
        </is>
      </c>
      <c r="P30" s="13" t="inlineStr">
        <is>
          <t>Efektif</t>
        </is>
      </c>
      <c r="Q30" s="13" t="inlineStr">
        <is>
          <t>Tim respons insiden dan format pelaporan eskalasi Leadership OS AIFL disahkan.</t>
        </is>
      </c>
      <c r="R30" s="13" t="inlineStr">
        <is>
          <t>Pertahankan efektivitas kontrol dan lakukan review operasional berkala</t>
        </is>
      </c>
      <c r="S30" s="13" t="inlineStr">
        <is>
          <t>Sedang</t>
        </is>
      </c>
      <c r="T30" s="14" t="n">
        <v>46477</v>
      </c>
      <c r="U30" s="13" t="inlineStr">
        <is>
          <t>Dimas (Group Vision)</t>
        </is>
      </c>
      <c r="V30" s="14" t="n">
        <v>46302</v>
      </c>
      <c r="W30" s="31">
        <f>IF(G30="Belum ditentukan","Tentukan relevansi",IF(G30="Tidak berlaku",IF(OR(H30="",U30="",V30=""),"Lengkapi justifikasi","Tercatat"),IF(OR(J30="",L30="",N30="",O30="",P30=""),"Lengkapi assessment",IF(AND(I30="Diterapkan",J30="Lengkap",O30="Memadai",P30="Efektif",OR(K30="",U30="",V30="")),"Lengkapi bukti/reviewer","Tercatat"))))</f>
        <v/>
      </c>
      <c r="X30" s="31">
        <f>IF(G30="Belum ditentukan","Belum dinilai",IF(G30="Tidak berlaku",IF(W30="Tercatat","Dikecualikan","Belum siap"),IF(AND(I30="Diterapkan",J30="Lengkap",O30="Memadai",P30="Efektif",W30="Tercatat"),"Siap","Belum siap")))</f>
        <v/>
      </c>
      <c r="Y30" s="31">
        <f>IF(G30="Belum ditentukan","Belum dijadwalkan",IF(N30="","Tanpa jadwal",IF(N30&lt;'Master Data'!$C$9,"Review lewat","Dalam jadwal")))</f>
        <v/>
      </c>
      <c r="Z30" s="31">
        <f>IF(X30="Belum dinilai","Belum dinilai",IF(AND(OR(X30="Siap",X30="Dikecualikan"),Y30="Dalam jadwal"),"Tidak","Ya"))</f>
        <v/>
      </c>
    </row>
    <row r="31" ht="63.95" customHeight="1">
      <c r="A31" s="1" t="n"/>
      <c r="B31" s="12" t="inlineStr">
        <is>
          <t>A.5.25</t>
        </is>
      </c>
      <c r="C31" s="32" t="inlineStr">
        <is>
          <t>Organizational</t>
        </is>
      </c>
      <c r="D31" s="32" t="inlineStr">
        <is>
          <t>Penilaian kejadian keamanan</t>
        </is>
      </c>
      <c r="E31" s="32" t="inlineStr">
        <is>
          <t>Event dinilai konsisten untuk menentukan apakah menjadi insiden</t>
        </is>
      </c>
      <c r="F31" s="32" t="inlineStr">
        <is>
          <t>Kriteria klasifikasi, event ticket, decision log, SLA triage</t>
        </is>
      </c>
      <c r="G31" s="13" t="inlineStr">
        <is>
          <t>Berlaku</t>
        </is>
      </c>
      <c r="H31" s="13" t="inlineStr">
        <is>
          <t>Kontrol A.5.25 relevan dan wajib diterapkan pada platform operasional auditsphere.app.</t>
        </is>
      </c>
      <c r="I31" s="13" t="inlineStr">
        <is>
          <t>Diterapkan</t>
        </is>
      </c>
      <c r="J31" s="13" t="inlineStr">
        <is>
          <t>Lengkap</t>
        </is>
      </c>
      <c r="K31" s="13" t="inlineStr">
        <is>
          <t>DOC-ISO-AS-001-Sec11.3</t>
        </is>
      </c>
      <c r="L31" s="13" t="inlineStr">
        <is>
          <t>SOC Lead</t>
        </is>
      </c>
      <c r="M31" s="14" t="n">
        <v>46302</v>
      </c>
      <c r="N31" s="14" t="n">
        <v>46477</v>
      </c>
      <c r="O31" s="13" t="inlineStr">
        <is>
          <t>Memadai</t>
        </is>
      </c>
      <c r="P31" s="13" t="inlineStr">
        <is>
          <t>Efektif</t>
        </is>
      </c>
      <c r="Q31" s="13" t="inlineStr">
        <is>
          <t>Klasifikasi tingkat keparahan insiden (Critical, Major, Minor) dengan target SLA respons terukur.</t>
        </is>
      </c>
      <c r="R31" s="13" t="inlineStr">
        <is>
          <t>Pertahankan efektivitas kontrol dan lakukan review operasional berkala</t>
        </is>
      </c>
      <c r="S31" s="13" t="inlineStr">
        <is>
          <t>Sedang</t>
        </is>
      </c>
      <c r="T31" s="14" t="n">
        <v>46477</v>
      </c>
      <c r="U31" s="13" t="inlineStr">
        <is>
          <t>Dimas (Group Vision)</t>
        </is>
      </c>
      <c r="V31" s="14" t="n">
        <v>46302</v>
      </c>
      <c r="W31" s="31">
        <f>IF(G31="Belum ditentukan","Tentukan relevansi",IF(G31="Tidak berlaku",IF(OR(H31="",U31="",V31=""),"Lengkapi justifikasi","Tercatat"),IF(OR(J31="",L31="",N31="",O31="",P31=""),"Lengkapi assessment",IF(AND(I31="Diterapkan",J31="Lengkap",O31="Memadai",P31="Efektif",OR(K31="",U31="",V31="")),"Lengkapi bukti/reviewer","Tercatat"))))</f>
        <v/>
      </c>
      <c r="X31" s="31">
        <f>IF(G31="Belum ditentukan","Belum dinilai",IF(G31="Tidak berlaku",IF(W31="Tercatat","Dikecualikan","Belum siap"),IF(AND(I31="Diterapkan",J31="Lengkap",O31="Memadai",P31="Efektif",W31="Tercatat"),"Siap","Belum siap")))</f>
        <v/>
      </c>
      <c r="Y31" s="31">
        <f>IF(G31="Belum ditentukan","Belum dijadwalkan",IF(N31="","Tanpa jadwal",IF(N31&lt;'Master Data'!$C$9,"Review lewat","Dalam jadwal")))</f>
        <v/>
      </c>
      <c r="Z31" s="31">
        <f>IF(X31="Belum dinilai","Belum dinilai",IF(AND(OR(X31="Siap",X31="Dikecualikan"),Y31="Dalam jadwal"),"Tidak","Ya"))</f>
        <v/>
      </c>
    </row>
    <row r="32" ht="63.95" customHeight="1">
      <c r="A32" s="1" t="n"/>
      <c r="B32" s="12" t="inlineStr">
        <is>
          <t>A.5.26</t>
        </is>
      </c>
      <c r="C32" s="32" t="inlineStr">
        <is>
          <t>Organizational</t>
        </is>
      </c>
      <c r="D32" s="32" t="inlineStr">
        <is>
          <t>Respons insiden keamanan</t>
        </is>
      </c>
      <c r="E32" s="32" t="inlineStr">
        <is>
          <t>Insiden ditangani sesuai prosedur dan kewenangan</t>
        </is>
      </c>
      <c r="F32" s="32" t="inlineStr">
        <is>
          <t>Incident record, timeline, containment log, komunikasi</t>
        </is>
      </c>
      <c r="G32" s="13" t="inlineStr">
        <is>
          <t>Berlaku</t>
        </is>
      </c>
      <c r="H32" s="13" t="inlineStr">
        <is>
          <t>Kontrol A.5.26 relevan dan wajib diterapkan pada platform operasional auditsphere.app.</t>
        </is>
      </c>
      <c r="I32" s="13" t="inlineStr">
        <is>
          <t>Diterapkan</t>
        </is>
      </c>
      <c r="J32" s="13" t="inlineStr">
        <is>
          <t>Lengkap</t>
        </is>
      </c>
      <c r="K32" s="13" t="inlineStr">
        <is>
          <t>DOC-ISO-AS-001-Sec11.1</t>
        </is>
      </c>
      <c r="L32" s="13" t="inlineStr">
        <is>
          <t>SOC Lead</t>
        </is>
      </c>
      <c r="M32" s="14" t="n">
        <v>46302</v>
      </c>
      <c r="N32" s="14" t="n">
        <v>46477</v>
      </c>
      <c r="O32" s="13" t="inlineStr">
        <is>
          <t>Memadai</t>
        </is>
      </c>
      <c r="P32" s="13" t="inlineStr">
        <is>
          <t>Efektif</t>
        </is>
      </c>
      <c r="Q32" s="13" t="inlineStr">
        <is>
          <t>Prosedur penahanan insiden, isolasi container, dan revocations kredensial terstandarisasi.</t>
        </is>
      </c>
      <c r="R32" s="13" t="inlineStr">
        <is>
          <t>Pertahankan efektivitas kontrol dan lakukan review operasional berkala</t>
        </is>
      </c>
      <c r="S32" s="13" t="inlineStr">
        <is>
          <t>Sedang</t>
        </is>
      </c>
      <c r="T32" s="14" t="n">
        <v>46477</v>
      </c>
      <c r="U32" s="13" t="inlineStr">
        <is>
          <t>Dimas (Group Vision)</t>
        </is>
      </c>
      <c r="V32" s="14" t="n">
        <v>46302</v>
      </c>
      <c r="W32" s="31">
        <f>IF(G32="Belum ditentukan","Tentukan relevansi",IF(G32="Tidak berlaku",IF(OR(H32="",U32="",V32=""),"Lengkapi justifikasi","Tercatat"),IF(OR(J32="",L32="",N32="",O32="",P32=""),"Lengkapi assessment",IF(AND(I32="Diterapkan",J32="Lengkap",O32="Memadai",P32="Efektif",OR(K32="",U32="",V32="")),"Lengkapi bukti/reviewer","Tercatat"))))</f>
        <v/>
      </c>
      <c r="X32" s="31">
        <f>IF(G32="Belum ditentukan","Belum dinilai",IF(G32="Tidak berlaku",IF(W32="Tercatat","Dikecualikan","Belum siap"),IF(AND(I32="Diterapkan",J32="Lengkap",O32="Memadai",P32="Efektif",W32="Tercatat"),"Siap","Belum siap")))</f>
        <v/>
      </c>
      <c r="Y32" s="31">
        <f>IF(G32="Belum ditentukan","Belum dijadwalkan",IF(N32="","Tanpa jadwal",IF(N32&lt;'Master Data'!$C$9,"Review lewat","Dalam jadwal")))</f>
        <v/>
      </c>
      <c r="Z32" s="31">
        <f>IF(X32="Belum dinilai","Belum dinilai",IF(AND(OR(X32="Siap",X32="Dikecualikan"),Y32="Dalam jadwal"),"Tidak","Ya"))</f>
        <v/>
      </c>
    </row>
    <row r="33" ht="63.95" customHeight="1">
      <c r="A33" s="1" t="n"/>
      <c r="B33" s="12" t="inlineStr">
        <is>
          <t>A.5.27</t>
        </is>
      </c>
      <c r="C33" s="32" t="inlineStr">
        <is>
          <t>Organizational</t>
        </is>
      </c>
      <c r="D33" s="32" t="inlineStr">
        <is>
          <t>Pembelajaran dari insiden</t>
        </is>
      </c>
      <c r="E33" s="32" t="inlineStr">
        <is>
          <t>Akar masalah dan pembelajaran diterapkan untuk mencegah pengulangan</t>
        </is>
      </c>
      <c r="F33" s="32" t="inlineStr">
        <is>
          <t>Post-incident review, RCA, improvement ticket, lesson learned</t>
        </is>
      </c>
      <c r="G33" s="13" t="inlineStr">
        <is>
          <t>Berlaku</t>
        </is>
      </c>
      <c r="H33" s="13" t="inlineStr">
        <is>
          <t>Mencegah insiden berulang melalui analisis akar masalah (Root Cause Analysis).</t>
        </is>
      </c>
      <c r="I33" s="13" t="n"/>
      <c r="J33" s="13" t="n"/>
      <c r="K33" s="13" t="n"/>
      <c r="L33" s="13" t="inlineStr">
        <is>
          <t>Security Officer</t>
        </is>
      </c>
      <c r="M33" s="14" t="n">
        <v>46302</v>
      </c>
      <c r="N33" s="14" t="n">
        <v>46387</v>
      </c>
      <c r="O33" s="13" t="n"/>
      <c r="P33" s="13" t="n"/>
      <c r="Q33" s="13" t="inlineStr">
        <is>
          <t>Template database Post-Incident Review (PIR) dan penelusuran tindakan korektif pasca-insiden belum dioperasikan secara sistematis.</t>
        </is>
      </c>
      <c r="R33" s="13" t="inlineStr">
        <is>
          <t>Rekomendasi: Buat formulir baku PIR (Post-Incident Review) yang mencakup 5-Whys RCA, timeline kejadian, serta pelacakan remediasi ke backlog rekayasa.</t>
        </is>
      </c>
      <c r="S33" s="13" t="inlineStr">
        <is>
          <t>Sedang</t>
        </is>
      </c>
      <c r="T33" s="14" t="n">
        <v>46387</v>
      </c>
      <c r="U33" s="13" t="n"/>
      <c r="V33" s="14" t="n"/>
      <c r="W33" s="31">
        <f>IF(G33="Belum ditentukan","Tentukan relevansi",IF(G33="Tidak berlaku",IF(OR(H33="",U33="",V33=""),"Lengkapi justifikasi","Tercatat"),IF(OR(J33="",L33="",N33="",O33="",P33=""),"Lengkapi assessment",IF(AND(I33="Diterapkan",J33="Lengkap",O33="Memadai",P33="Efektif",OR(K33="",U33="",V33="")),"Lengkapi bukti/reviewer","Tercatat"))))</f>
        <v/>
      </c>
      <c r="X33" s="31">
        <f>IF(G33="Belum ditentukan","Belum dinilai",IF(G33="Tidak berlaku",IF(W33="Tercatat","Dikecualikan","Belum siap"),IF(AND(I33="Diterapkan",J33="Lengkap",O33="Memadai",P33="Efektif",W33="Tercatat"),"Siap","Belum siap")))</f>
        <v/>
      </c>
      <c r="Y33" s="31">
        <f>IF(G33="Belum ditentukan","Belum dijadwalkan",IF(N33="","Tanpa jadwal",IF(N33&lt;'Master Data'!$C$9,"Review lewat","Dalam jadwal")))</f>
        <v/>
      </c>
      <c r="Z33" s="31">
        <f>IF(X33="Belum dinilai","Belum dinilai",IF(AND(OR(X33="Siap",X33="Dikecualikan"),Y33="Dalam jadwal"),"Tidak","Ya"))</f>
        <v/>
      </c>
    </row>
    <row r="34" ht="63.95" customHeight="1">
      <c r="A34" s="1" t="n"/>
      <c r="B34" s="12" t="inlineStr">
        <is>
          <t>A.5.28</t>
        </is>
      </c>
      <c r="C34" s="32" t="inlineStr">
        <is>
          <t>Organizational</t>
        </is>
      </c>
      <c r="D34" s="32" t="inlineStr">
        <is>
          <t>Pengumpulan bukti</t>
        </is>
      </c>
      <c r="E34" s="32" t="inlineStr">
        <is>
          <t>Bukti insiden dikumpulkan dan dijaga integritas serta chain of custody</t>
        </is>
      </c>
      <c r="F34" s="32" t="inlineStr">
        <is>
          <t>Prosedur forensik, evidence log, hash, chain-of-custody form</t>
        </is>
      </c>
      <c r="G34" s="13" t="inlineStr">
        <is>
          <t>Berlaku</t>
        </is>
      </c>
      <c r="H34" s="13" t="inlineStr">
        <is>
          <t>Kontrol A.5.28 relevan dan wajib diterapkan pada platform operasional auditsphere.app.</t>
        </is>
      </c>
      <c r="I34" s="13" t="inlineStr">
        <is>
          <t>Diterapkan</t>
        </is>
      </c>
      <c r="J34" s="13" t="inlineStr">
        <is>
          <t>Lengkap</t>
        </is>
      </c>
      <c r="K34" s="13" t="inlineStr">
        <is>
          <t>DOC-FRP-001_Forensic_Readiness</t>
        </is>
      </c>
      <c r="L34" s="13" t="inlineStr">
        <is>
          <t>Security Officer</t>
        </is>
      </c>
      <c r="M34" s="14" t="n">
        <v>46302</v>
      </c>
      <c r="N34" s="14" t="n">
        <v>46477</v>
      </c>
      <c r="O34" s="13" t="inlineStr">
        <is>
          <t>Memadai</t>
        </is>
      </c>
      <c r="P34" s="13" t="inlineStr">
        <is>
          <t>Efektif</t>
        </is>
      </c>
      <c r="Q34" s="13" t="inlineStr">
        <is>
          <t>Prosedur kesiapan forensik digital dan pemeliharaan rantai keaslian bukti (FRP-001) disahkan.</t>
        </is>
      </c>
      <c r="R34" s="13" t="inlineStr">
        <is>
          <t>Pertahankan efektivitas kontrol dan lakukan review operasional berkala</t>
        </is>
      </c>
      <c r="S34" s="13" t="inlineStr">
        <is>
          <t>Sedang</t>
        </is>
      </c>
      <c r="T34" s="14" t="n">
        <v>46477</v>
      </c>
      <c r="U34" s="13" t="inlineStr">
        <is>
          <t>Dimas (Group Vision)</t>
        </is>
      </c>
      <c r="V34" s="14" t="n">
        <v>46302</v>
      </c>
      <c r="W34" s="31">
        <f>IF(G34="Belum ditentukan","Tentukan relevansi",IF(G34="Tidak berlaku",IF(OR(H34="",U34="",V34=""),"Lengkapi justifikasi","Tercatat"),IF(OR(J34="",L34="",N34="",O34="",P34=""),"Lengkapi assessment",IF(AND(I34="Diterapkan",J34="Lengkap",O34="Memadai",P34="Efektif",OR(K34="",U34="",V34="")),"Lengkapi bukti/reviewer","Tercatat"))))</f>
        <v/>
      </c>
      <c r="X34" s="31">
        <f>IF(G34="Belum ditentukan","Belum dinilai",IF(G34="Tidak berlaku",IF(W34="Tercatat","Dikecualikan","Belum siap"),IF(AND(I34="Diterapkan",J34="Lengkap",O34="Memadai",P34="Efektif",W34="Tercatat"),"Siap","Belum siap")))</f>
        <v/>
      </c>
      <c r="Y34" s="31">
        <f>IF(G34="Belum ditentukan","Belum dijadwalkan",IF(N34="","Tanpa jadwal",IF(N34&lt;'Master Data'!$C$9,"Review lewat","Dalam jadwal")))</f>
        <v/>
      </c>
      <c r="Z34" s="31">
        <f>IF(X34="Belum dinilai","Belum dinilai",IF(AND(OR(X34="Siap",X34="Dikecualikan"),Y34="Dalam jadwal"),"Tidak","Ya"))</f>
        <v/>
      </c>
    </row>
    <row r="35" ht="63.95" customHeight="1">
      <c r="A35" s="1" t="n"/>
      <c r="B35" s="12" t="inlineStr">
        <is>
          <t>A.5.29</t>
        </is>
      </c>
      <c r="C35" s="32" t="inlineStr">
        <is>
          <t>Organizational</t>
        </is>
      </c>
      <c r="D35" s="32" t="inlineStr">
        <is>
          <t>Keamanan selama gangguan</t>
        </is>
      </c>
      <c r="E35" s="32" t="inlineStr">
        <is>
          <t>Keamanan informasi dipertahankan pada kondisi gangguan</t>
        </is>
      </c>
      <c r="F35" s="32" t="inlineStr">
        <is>
          <t>BCP, prosedur mode darurat, hasil latihan, risk acceptance</t>
        </is>
      </c>
      <c r="G35" s="13" t="inlineStr">
        <is>
          <t>Berlaku</t>
        </is>
      </c>
      <c r="H35" s="13" t="inlineStr">
        <is>
          <t>Kontrol A.5.29 relevan dan wajib diterapkan pada platform operasional auditsphere.app.</t>
        </is>
      </c>
      <c r="I35" s="13" t="inlineStr">
        <is>
          <t>Diterapkan</t>
        </is>
      </c>
      <c r="J35" s="13" t="inlineStr">
        <is>
          <t>Lengkap</t>
        </is>
      </c>
      <c r="K35" s="13" t="inlineStr">
        <is>
          <t>DOC-ISO-AS-001-Sec12</t>
        </is>
      </c>
      <c r="L35" s="13" t="inlineStr">
        <is>
          <t>Infrastructure Lead</t>
        </is>
      </c>
      <c r="M35" s="14" t="n">
        <v>46302</v>
      </c>
      <c r="N35" s="14" t="n">
        <v>46477</v>
      </c>
      <c r="O35" s="13" t="inlineStr">
        <is>
          <t>Memadai</t>
        </is>
      </c>
      <c r="P35" s="13" t="inlineStr">
        <is>
          <t>Efektif</t>
        </is>
      </c>
      <c r="Q35" s="13" t="inlineStr">
        <is>
          <t>Service backend stateless dirancang dapat di-deploy ulang cepat saat terjadi insiden.</t>
        </is>
      </c>
      <c r="R35" s="13" t="inlineStr">
        <is>
          <t>Pertahankan efektivitas kontrol dan lakukan review operasional berkala</t>
        </is>
      </c>
      <c r="S35" s="13" t="inlineStr">
        <is>
          <t>Sedang</t>
        </is>
      </c>
      <c r="T35" s="14" t="n">
        <v>46477</v>
      </c>
      <c r="U35" s="13" t="inlineStr">
        <is>
          <t>Dimas (Group Vision)</t>
        </is>
      </c>
      <c r="V35" s="14" t="n">
        <v>46302</v>
      </c>
      <c r="W35" s="31">
        <f>IF(G35="Belum ditentukan","Tentukan relevansi",IF(G35="Tidak berlaku",IF(OR(H35="",U35="",V35=""),"Lengkapi justifikasi","Tercatat"),IF(OR(J35="",L35="",N35="",O35="",P35=""),"Lengkapi assessment",IF(AND(I35="Diterapkan",J35="Lengkap",O35="Memadai",P35="Efektif",OR(K35="",U35="",V35="")),"Lengkapi bukti/reviewer","Tercatat"))))</f>
        <v/>
      </c>
      <c r="X35" s="31">
        <f>IF(G35="Belum ditentukan","Belum dinilai",IF(G35="Tidak berlaku",IF(W35="Tercatat","Dikecualikan","Belum siap"),IF(AND(I35="Diterapkan",J35="Lengkap",O35="Memadai",P35="Efektif",W35="Tercatat"),"Siap","Belum siap")))</f>
        <v/>
      </c>
      <c r="Y35" s="31">
        <f>IF(G35="Belum ditentukan","Belum dijadwalkan",IF(N35="","Tanpa jadwal",IF(N35&lt;'Master Data'!$C$9,"Review lewat","Dalam jadwal")))</f>
        <v/>
      </c>
      <c r="Z35" s="31">
        <f>IF(X35="Belum dinilai","Belum dinilai",IF(AND(OR(X35="Siap",X35="Dikecualikan"),Y35="Dalam jadwal"),"Tidak","Ya"))</f>
        <v/>
      </c>
    </row>
    <row r="36" ht="63.95" customHeight="1">
      <c r="A36" s="1" t="n"/>
      <c r="B36" s="12" t="inlineStr">
        <is>
          <t>A.5.30</t>
        </is>
      </c>
      <c r="C36" s="32" t="inlineStr">
        <is>
          <t>Organizational</t>
        </is>
      </c>
      <c r="D36" s="32" t="inlineStr">
        <is>
          <t>Kesiapan TIK untuk kelangsungan bisnis</t>
        </is>
      </c>
      <c r="E36" s="32" t="inlineStr">
        <is>
          <t>Kemampuan TIK mendukung target pemulihan yang disepakati</t>
        </is>
      </c>
      <c r="F36" s="32" t="inlineStr">
        <is>
          <t>DRP, BIA, RTO/RPO, hasil restore dan DR test</t>
        </is>
      </c>
      <c r="G36" s="13" t="inlineStr">
        <is>
          <t>Berlaku</t>
        </is>
      </c>
      <c r="H36" s="13" t="inlineStr">
        <is>
          <t>Kontrol A.5.30 relevan dan wajib diterapkan pada platform operasional auditsphere.app.</t>
        </is>
      </c>
      <c r="I36" s="13" t="inlineStr">
        <is>
          <t>Diterapkan</t>
        </is>
      </c>
      <c r="J36" s="13" t="inlineStr">
        <is>
          <t>Lengkap</t>
        </is>
      </c>
      <c r="K36" s="13" t="inlineStr">
        <is>
          <t>DOC-ISO-AS-001-Sec12.1</t>
        </is>
      </c>
      <c r="L36" s="13" t="inlineStr">
        <is>
          <t>DevOps Lead</t>
        </is>
      </c>
      <c r="M36" s="14" t="n">
        <v>46302</v>
      </c>
      <c r="N36" s="14" t="n">
        <v>46477</v>
      </c>
      <c r="O36" s="13" t="inlineStr">
        <is>
          <t>Memadai</t>
        </is>
      </c>
      <c r="P36" s="13" t="inlineStr">
        <is>
          <t>Efektif</t>
        </is>
      </c>
      <c r="Q36" s="13" t="inlineStr">
        <is>
          <t>Target RTO (&lt;1 jam) dan RPO (&lt;15 menit) ditetapkan dan didukung pencadangan snapshot teratur.</t>
        </is>
      </c>
      <c r="R36" s="13" t="inlineStr">
        <is>
          <t>Pertahankan efektivitas kontrol dan lakukan review operasional berkala</t>
        </is>
      </c>
      <c r="S36" s="13" t="inlineStr">
        <is>
          <t>Sedang</t>
        </is>
      </c>
      <c r="T36" s="14" t="n">
        <v>46477</v>
      </c>
      <c r="U36" s="13" t="inlineStr">
        <is>
          <t>Dimas (Group Vision)</t>
        </is>
      </c>
      <c r="V36" s="14" t="n">
        <v>46302</v>
      </c>
      <c r="W36" s="31">
        <f>IF(G36="Belum ditentukan","Tentukan relevansi",IF(G36="Tidak berlaku",IF(OR(H36="",U36="",V36=""),"Lengkapi justifikasi","Tercatat"),IF(OR(J36="",L36="",N36="",O36="",P36=""),"Lengkapi assessment",IF(AND(I36="Diterapkan",J36="Lengkap",O36="Memadai",P36="Efektif",OR(K36="",U36="",V36="")),"Lengkapi bukti/reviewer","Tercatat"))))</f>
        <v/>
      </c>
      <c r="X36" s="31">
        <f>IF(G36="Belum ditentukan","Belum dinilai",IF(G36="Tidak berlaku",IF(W36="Tercatat","Dikecualikan","Belum siap"),IF(AND(I36="Diterapkan",J36="Lengkap",O36="Memadai",P36="Efektif",W36="Tercatat"),"Siap","Belum siap")))</f>
        <v/>
      </c>
      <c r="Y36" s="31">
        <f>IF(G36="Belum ditentukan","Belum dijadwalkan",IF(N36="","Tanpa jadwal",IF(N36&lt;'Master Data'!$C$9,"Review lewat","Dalam jadwal")))</f>
        <v/>
      </c>
      <c r="Z36" s="31">
        <f>IF(X36="Belum dinilai","Belum dinilai",IF(AND(OR(X36="Siap",X36="Dikecualikan"),Y36="Dalam jadwal"),"Tidak","Ya"))</f>
        <v/>
      </c>
    </row>
    <row r="37" ht="63.95" customHeight="1">
      <c r="A37" s="1" t="n"/>
      <c r="B37" s="12" t="inlineStr">
        <is>
          <t>A.5.31</t>
        </is>
      </c>
      <c r="C37" s="32" t="inlineStr">
        <is>
          <t>Organizational</t>
        </is>
      </c>
      <c r="D37" s="32" t="inlineStr">
        <is>
          <t>Persyaratan hukum dan kontraktual</t>
        </is>
      </c>
      <c r="E37" s="32" t="inlineStr">
        <is>
          <t>Kewajiban keamanan diidentifikasi, diperbarui, dan dipatuhi</t>
        </is>
      </c>
      <c r="F37" s="32" t="inlineStr">
        <is>
          <t>Legal register, compliance mapping, review regulasi, kontrak</t>
        </is>
      </c>
      <c r="G37" s="13" t="inlineStr">
        <is>
          <t>Berlaku</t>
        </is>
      </c>
      <c r="H37" s="13" t="inlineStr">
        <is>
          <t>Kontrol A.5.31 relevan dan wajib diterapkan pada platform operasional auditsphere.app.</t>
        </is>
      </c>
      <c r="I37" s="13" t="inlineStr">
        <is>
          <t>Diterapkan</t>
        </is>
      </c>
      <c r="J37" s="13" t="inlineStr">
        <is>
          <t>Lengkap</t>
        </is>
      </c>
      <c r="K37" s="13" t="inlineStr">
        <is>
          <t>DOC-ISO-AS-001-Sec3</t>
        </is>
      </c>
      <c r="L37" s="13" t="inlineStr">
        <is>
          <t>Compliance Lead</t>
        </is>
      </c>
      <c r="M37" s="14" t="n">
        <v>46302</v>
      </c>
      <c r="N37" s="14" t="n">
        <v>46477</v>
      </c>
      <c r="O37" s="13" t="inlineStr">
        <is>
          <t>Memadai</t>
        </is>
      </c>
      <c r="P37" s="13" t="inlineStr">
        <is>
          <t>Efektif</t>
        </is>
      </c>
      <c r="Q37" s="13" t="inlineStr">
        <is>
          <t>Pemenuhan regulasi UU PDP No. 27/2022, UU ITE, dan standar IIA IPPF / ISACA ITAF terdokumentasi.</t>
        </is>
      </c>
      <c r="R37" s="13" t="inlineStr">
        <is>
          <t>Pertahankan efektivitas kontrol dan lakukan review operasional berkala</t>
        </is>
      </c>
      <c r="S37" s="13" t="inlineStr">
        <is>
          <t>Sedang</t>
        </is>
      </c>
      <c r="T37" s="14" t="n">
        <v>46477</v>
      </c>
      <c r="U37" s="13" t="inlineStr">
        <is>
          <t>Dimas (Group Vision)</t>
        </is>
      </c>
      <c r="V37" s="14" t="n">
        <v>46302</v>
      </c>
      <c r="W37" s="31">
        <f>IF(G37="Belum ditentukan","Tentukan relevansi",IF(G37="Tidak berlaku",IF(OR(H37="",U37="",V37=""),"Lengkapi justifikasi","Tercatat"),IF(OR(J37="",L37="",N37="",O37="",P37=""),"Lengkapi assessment",IF(AND(I37="Diterapkan",J37="Lengkap",O37="Memadai",P37="Efektif",OR(K37="",U37="",V37="")),"Lengkapi bukti/reviewer","Tercatat"))))</f>
        <v/>
      </c>
      <c r="X37" s="31">
        <f>IF(G37="Belum ditentukan","Belum dinilai",IF(G37="Tidak berlaku",IF(W37="Tercatat","Dikecualikan","Belum siap"),IF(AND(I37="Diterapkan",J37="Lengkap",O37="Memadai",P37="Efektif",W37="Tercatat"),"Siap","Belum siap")))</f>
        <v/>
      </c>
      <c r="Y37" s="31">
        <f>IF(G37="Belum ditentukan","Belum dijadwalkan",IF(N37="","Tanpa jadwal",IF(N37&lt;'Master Data'!$C$9,"Review lewat","Dalam jadwal")))</f>
        <v/>
      </c>
      <c r="Z37" s="31">
        <f>IF(X37="Belum dinilai","Belum dinilai",IF(AND(OR(X37="Siap",X37="Dikecualikan"),Y37="Dalam jadwal"),"Tidak","Ya"))</f>
        <v/>
      </c>
    </row>
    <row r="38" ht="63.95" customHeight="1">
      <c r="A38" s="1" t="n"/>
      <c r="B38" s="12" t="inlineStr">
        <is>
          <t>A.5.32</t>
        </is>
      </c>
      <c r="C38" s="32" t="inlineStr">
        <is>
          <t>Organizational</t>
        </is>
      </c>
      <c r="D38" s="32" t="inlineStr">
        <is>
          <t>Hak kekayaan intelektual</t>
        </is>
      </c>
      <c r="E38" s="32" t="inlineStr">
        <is>
          <t>Penggunaan perangkat lunak dan konten mematuhi hak kekayaan intelektual</t>
        </is>
      </c>
      <c r="F38" s="32" t="inlineStr">
        <is>
          <t>License register, bukti pembelian, software inventory, audit lisensi</t>
        </is>
      </c>
      <c r="G38" s="13" t="inlineStr">
        <is>
          <t>Berlaku</t>
        </is>
      </c>
      <c r="H38" s="13" t="inlineStr">
        <is>
          <t>Kontrol A.5.32 relevan dan wajib diterapkan pada platform operasional auditsphere.app.</t>
        </is>
      </c>
      <c r="I38" s="13" t="inlineStr">
        <is>
          <t>Diterapkan</t>
        </is>
      </c>
      <c r="J38" s="13" t="inlineStr">
        <is>
          <t>Lengkap</t>
        </is>
      </c>
      <c r="K38" s="13" t="inlineStr">
        <is>
          <t>SRC-backend/python-ai/requirements.txt</t>
        </is>
      </c>
      <c r="L38" s="13" t="inlineStr">
        <is>
          <t>Tech Lead AIFL</t>
        </is>
      </c>
      <c r="M38" s="14" t="n">
        <v>46302</v>
      </c>
      <c r="N38" s="14" t="n">
        <v>46477</v>
      </c>
      <c r="O38" s="13" t="inlineStr">
        <is>
          <t>Memadai</t>
        </is>
      </c>
      <c r="P38" s="13" t="inlineStr">
        <is>
          <t>Efektif</t>
        </is>
      </c>
      <c r="Q38" s="13" t="inlineStr">
        <is>
          <t>Audit lisensi pustaka open-source diverifikasi legalitas komersialnya (MIT, BSD, Apache 2.0).</t>
        </is>
      </c>
      <c r="R38" s="13" t="inlineStr">
        <is>
          <t>Pertahankan efektivitas kontrol dan lakukan review operasional berkala</t>
        </is>
      </c>
      <c r="S38" s="13" t="inlineStr">
        <is>
          <t>Sedang</t>
        </is>
      </c>
      <c r="T38" s="14" t="n">
        <v>46477</v>
      </c>
      <c r="U38" s="13" t="inlineStr">
        <is>
          <t>Dimas (Group Vision)</t>
        </is>
      </c>
      <c r="V38" s="14" t="n">
        <v>46302</v>
      </c>
      <c r="W38" s="31">
        <f>IF(G38="Belum ditentukan","Tentukan relevansi",IF(G38="Tidak berlaku",IF(OR(H38="",U38="",V38=""),"Lengkapi justifikasi","Tercatat"),IF(OR(J38="",L38="",N38="",O38="",P38=""),"Lengkapi assessment",IF(AND(I38="Diterapkan",J38="Lengkap",O38="Memadai",P38="Efektif",OR(K38="",U38="",V38="")),"Lengkapi bukti/reviewer","Tercatat"))))</f>
        <v/>
      </c>
      <c r="X38" s="31">
        <f>IF(G38="Belum ditentukan","Belum dinilai",IF(G38="Tidak berlaku",IF(W38="Tercatat","Dikecualikan","Belum siap"),IF(AND(I38="Diterapkan",J38="Lengkap",O38="Memadai",P38="Efektif",W38="Tercatat"),"Siap","Belum siap")))</f>
        <v/>
      </c>
      <c r="Y38" s="31">
        <f>IF(G38="Belum ditentukan","Belum dijadwalkan",IF(N38="","Tanpa jadwal",IF(N38&lt;'Master Data'!$C$9,"Review lewat","Dalam jadwal")))</f>
        <v/>
      </c>
      <c r="Z38" s="31">
        <f>IF(X38="Belum dinilai","Belum dinilai",IF(AND(OR(X38="Siap",X38="Dikecualikan"),Y38="Dalam jadwal"),"Tidak","Ya"))</f>
        <v/>
      </c>
    </row>
    <row r="39" ht="63.95" customHeight="1">
      <c r="A39" s="1" t="n"/>
      <c r="B39" s="12" t="inlineStr">
        <is>
          <t>A.5.33</t>
        </is>
      </c>
      <c r="C39" s="32" t="inlineStr">
        <is>
          <t>Organizational</t>
        </is>
      </c>
      <c r="D39" s="32" t="inlineStr">
        <is>
          <t>Perlindungan rekaman</t>
        </is>
      </c>
      <c r="E39" s="32" t="inlineStr">
        <is>
          <t>Rekaman dilindungi sesuai kebutuhan retensi dan integritas</t>
        </is>
      </c>
      <c r="F39" s="32" t="inlineStr">
        <is>
          <t>Retention schedule, access log, backup, disposal record</t>
        </is>
      </c>
      <c r="G39" s="13" t="inlineStr">
        <is>
          <t>Berlaku</t>
        </is>
      </c>
      <c r="H39" s="13" t="inlineStr">
        <is>
          <t>Kontrol A.5.33 relevan dan wajib diterapkan pada platform operasional auditsphere.app.</t>
        </is>
      </c>
      <c r="I39" s="13" t="inlineStr">
        <is>
          <t>Diterapkan</t>
        </is>
      </c>
      <c r="J39" s="13" t="inlineStr">
        <is>
          <t>Lengkap</t>
        </is>
      </c>
      <c r="K39" s="13" t="inlineStr">
        <is>
          <t>SRC-backend/auth-service/pkg/kafka</t>
        </is>
      </c>
      <c r="L39" s="13" t="inlineStr">
        <is>
          <t>Engineering Lead</t>
        </is>
      </c>
      <c r="M39" s="14" t="n">
        <v>46302</v>
      </c>
      <c r="N39" s="14" t="n">
        <v>46477</v>
      </c>
      <c r="O39" s="13" t="inlineStr">
        <is>
          <t>Memadai</t>
        </is>
      </c>
      <c r="P39" s="13" t="inlineStr">
        <is>
          <t>Efektif</t>
        </is>
      </c>
      <c r="Q39" s="13" t="inlineStr">
        <is>
          <t>Log audit trail disimpan immutable dengan hashing SHA-256 dan retensi data minimal 5 tahun.</t>
        </is>
      </c>
      <c r="R39" s="13" t="inlineStr">
        <is>
          <t>Pertahankan efektivitas kontrol dan lakukan review operasional berkala</t>
        </is>
      </c>
      <c r="S39" s="13" t="inlineStr">
        <is>
          <t>Sedang</t>
        </is>
      </c>
      <c r="T39" s="14" t="n">
        <v>46477</v>
      </c>
      <c r="U39" s="13" t="inlineStr">
        <is>
          <t>Dimas (Group Vision)</t>
        </is>
      </c>
      <c r="V39" s="14" t="n">
        <v>46302</v>
      </c>
      <c r="W39" s="31">
        <f>IF(G39="Belum ditentukan","Tentukan relevansi",IF(G39="Tidak berlaku",IF(OR(H39="",U39="",V39=""),"Lengkapi justifikasi","Tercatat"),IF(OR(J39="",L39="",N39="",O39="",P39=""),"Lengkapi assessment",IF(AND(I39="Diterapkan",J39="Lengkap",O39="Memadai",P39="Efektif",OR(K39="",U39="",V39="")),"Lengkapi bukti/reviewer","Tercatat"))))</f>
        <v/>
      </c>
      <c r="X39" s="31">
        <f>IF(G39="Belum ditentukan","Belum dinilai",IF(G39="Tidak berlaku",IF(W39="Tercatat","Dikecualikan","Belum siap"),IF(AND(I39="Diterapkan",J39="Lengkap",O39="Memadai",P39="Efektif",W39="Tercatat"),"Siap","Belum siap")))</f>
        <v/>
      </c>
      <c r="Y39" s="31">
        <f>IF(G39="Belum ditentukan","Belum dijadwalkan",IF(N39="","Tanpa jadwal",IF(N39&lt;'Master Data'!$C$9,"Review lewat","Dalam jadwal")))</f>
        <v/>
      </c>
      <c r="Z39" s="31">
        <f>IF(X39="Belum dinilai","Belum dinilai",IF(AND(OR(X39="Siap",X39="Dikecualikan"),Y39="Dalam jadwal"),"Tidak","Ya"))</f>
        <v/>
      </c>
    </row>
    <row r="40" ht="63.95" customHeight="1">
      <c r="A40" s="1" t="n"/>
      <c r="B40" s="12" t="inlineStr">
        <is>
          <t>A.5.34</t>
        </is>
      </c>
      <c r="C40" s="32" t="inlineStr">
        <is>
          <t>Organizational</t>
        </is>
      </c>
      <c r="D40" s="32" t="inlineStr">
        <is>
          <t>Privasi dan perlindungan PII</t>
        </is>
      </c>
      <c r="E40" s="32" t="inlineStr">
        <is>
          <t>PII diproses sesuai kewajiban dan kontrol privasi</t>
        </is>
      </c>
      <c r="F40" s="32" t="inlineStr">
        <is>
          <t>Data inventory, privacy notice, DPIA, consent, DPA</t>
        </is>
      </c>
      <c r="G40" s="13" t="inlineStr">
        <is>
          <t>Berlaku</t>
        </is>
      </c>
      <c r="H40" s="13" t="inlineStr">
        <is>
          <t>Kontrol A.5.34 relevan dan wajib diterapkan pada platform operasional auditsphere.app.</t>
        </is>
      </c>
      <c r="I40" s="13" t="inlineStr">
        <is>
          <t>Diterapkan</t>
        </is>
      </c>
      <c r="J40" s="13" t="inlineStr">
        <is>
          <t>Lengkap</t>
        </is>
      </c>
      <c r="K40" s="13" t="inlineStr">
        <is>
          <t>DOC-ISO-AS-001-Sec13.3</t>
        </is>
      </c>
      <c r="L40" s="13" t="inlineStr">
        <is>
          <t>Data Protection Officer</t>
        </is>
      </c>
      <c r="M40" s="14" t="n">
        <v>46302</v>
      </c>
      <c r="N40" s="14" t="n">
        <v>46477</v>
      </c>
      <c r="O40" s="13" t="inlineStr">
        <is>
          <t>Memadai</t>
        </is>
      </c>
      <c r="P40" s="13" t="inlineStr">
        <is>
          <t>Efektif</t>
        </is>
      </c>
      <c r="Q40" s="13" t="inlineStr">
        <is>
          <t>Residensi data lokal di wilayah hukum Indonesia (VPS IP 202.10.34.166 / Region Jakarta) dipatuhi.</t>
        </is>
      </c>
      <c r="R40" s="13" t="inlineStr">
        <is>
          <t>Pertahankan efektivitas kontrol dan lakukan review operasional berkala</t>
        </is>
      </c>
      <c r="S40" s="13" t="inlineStr">
        <is>
          <t>Sedang</t>
        </is>
      </c>
      <c r="T40" s="14" t="n">
        <v>46477</v>
      </c>
      <c r="U40" s="13" t="inlineStr">
        <is>
          <t>Dimas (Group Vision)</t>
        </is>
      </c>
      <c r="V40" s="14" t="n">
        <v>46302</v>
      </c>
      <c r="W40" s="31">
        <f>IF(G40="Belum ditentukan","Tentukan relevansi",IF(G40="Tidak berlaku",IF(OR(H40="",U40="",V40=""),"Lengkapi justifikasi","Tercatat"),IF(OR(J40="",L40="",N40="",O40="",P40=""),"Lengkapi assessment",IF(AND(I40="Diterapkan",J40="Lengkap",O40="Memadai",P40="Efektif",OR(K40="",U40="",V40="")),"Lengkapi bukti/reviewer","Tercatat"))))</f>
        <v/>
      </c>
      <c r="X40" s="31">
        <f>IF(G40="Belum ditentukan","Belum dinilai",IF(G40="Tidak berlaku",IF(W40="Tercatat","Dikecualikan","Belum siap"),IF(AND(I40="Diterapkan",J40="Lengkap",O40="Memadai",P40="Efektif",W40="Tercatat"),"Siap","Belum siap")))</f>
        <v/>
      </c>
      <c r="Y40" s="31">
        <f>IF(G40="Belum ditentukan","Belum dijadwalkan",IF(N40="","Tanpa jadwal",IF(N40&lt;'Master Data'!$C$9,"Review lewat","Dalam jadwal")))</f>
        <v/>
      </c>
      <c r="Z40" s="31">
        <f>IF(X40="Belum dinilai","Belum dinilai",IF(AND(OR(X40="Siap",X40="Dikecualikan"),Y40="Dalam jadwal"),"Tidak","Ya"))</f>
        <v/>
      </c>
    </row>
    <row r="41" ht="63.95" customHeight="1">
      <c r="A41" s="1" t="n"/>
      <c r="B41" s="12" t="inlineStr">
        <is>
          <t>A.5.35</t>
        </is>
      </c>
      <c r="C41" s="32" t="inlineStr">
        <is>
          <t>Organizational</t>
        </is>
      </c>
      <c r="D41" s="32" t="inlineStr">
        <is>
          <t>Tinjauan independen keamanan informasi</t>
        </is>
      </c>
      <c r="E41" s="32" t="inlineStr">
        <is>
          <t>Tinjauan independen dilakukan terencana atau setelah perubahan besar</t>
        </is>
      </c>
      <c r="F41" s="32" t="inlineStr">
        <is>
          <t>Audit plan, laporan review, independensi auditor, action log</t>
        </is>
      </c>
      <c r="G41" s="13" t="inlineStr">
        <is>
          <t>Berlaku</t>
        </is>
      </c>
      <c r="H41" s="13" t="inlineStr">
        <is>
          <t>Memastikan objektivitas keselarasan ISMS melalui penilaian independen pihak ketiga.</t>
        </is>
      </c>
      <c r="I41" s="13" t="n"/>
      <c r="J41" s="13" t="n"/>
      <c r="K41" s="13" t="n"/>
      <c r="L41" s="13" t="inlineStr">
        <is>
          <t>Lead Information Security</t>
        </is>
      </c>
      <c r="M41" s="14" t="n">
        <v>46302</v>
      </c>
      <c r="N41" s="14" t="n">
        <v>46446</v>
      </c>
      <c r="O41" s="13" t="n"/>
      <c r="P41" s="13" t="n"/>
      <c r="Q41" s="13" t="inlineStr">
        <is>
          <t>Audit independen eksternal formal ISO/IEC 27001 belum pernah dilaksanakan pada siklus berjalan.</t>
        </is>
      </c>
      <c r="R41" s="13" t="inlineStr">
        <is>
          <t>Rekomendasi: Jadwalkan pre-assessment audit independen bersama badan sertifikasi terakreditasi KAN menjelang audit tahap 1 formal.</t>
        </is>
      </c>
      <c r="S41" s="13" t="inlineStr">
        <is>
          <t>Tinggi</t>
        </is>
      </c>
      <c r="T41" s="14" t="n">
        <v>46446</v>
      </c>
      <c r="U41" s="13" t="n"/>
      <c r="V41" s="14" t="n"/>
      <c r="W41" s="31">
        <f>IF(G41="Belum ditentukan","Tentukan relevansi",IF(G41="Tidak berlaku",IF(OR(H41="",U41="",V41=""),"Lengkapi justifikasi","Tercatat"),IF(OR(J41="",L41="",N41="",O41="",P41=""),"Lengkapi assessment",IF(AND(I41="Diterapkan",J41="Lengkap",O41="Memadai",P41="Efektif",OR(K41="",U41="",V41="")),"Lengkapi bukti/reviewer","Tercatat"))))</f>
        <v/>
      </c>
      <c r="X41" s="31">
        <f>IF(G41="Belum ditentukan","Belum dinilai",IF(G41="Tidak berlaku",IF(W41="Tercatat","Dikecualikan","Belum siap"),IF(AND(I41="Diterapkan",J41="Lengkap",O41="Memadai",P41="Efektif",W41="Tercatat"),"Siap","Belum siap")))</f>
        <v/>
      </c>
      <c r="Y41" s="31">
        <f>IF(G41="Belum ditentukan","Belum dijadwalkan",IF(N41="","Tanpa jadwal",IF(N41&lt;'Master Data'!$C$9,"Review lewat","Dalam jadwal")))</f>
        <v/>
      </c>
      <c r="Z41" s="31">
        <f>IF(X41="Belum dinilai","Belum dinilai",IF(AND(OR(X41="Siap",X41="Dikecualikan"),Y41="Dalam jadwal"),"Tidak","Ya"))</f>
        <v/>
      </c>
    </row>
    <row r="42" ht="63.95" customHeight="1">
      <c r="A42" s="1" t="n"/>
      <c r="B42" s="12" t="inlineStr">
        <is>
          <t>A.5.36</t>
        </is>
      </c>
      <c r="C42" s="32" t="inlineStr">
        <is>
          <t>Organizational</t>
        </is>
      </c>
      <c r="D42" s="32" t="inlineStr">
        <is>
          <t>Kepatuhan terhadap kebijakan dan standar</t>
        </is>
      </c>
      <c r="E42" s="32" t="inlineStr">
        <is>
          <t>Kepatuhan internal dipantau dan penyimpangan ditangani</t>
        </is>
      </c>
      <c r="F42" s="32" t="inlineStr">
        <is>
          <t>Compliance review, exception register, monitoring report</t>
        </is>
      </c>
      <c r="G42" s="13" t="inlineStr">
        <is>
          <t>Berlaku</t>
        </is>
      </c>
      <c r="H42" s="13" t="inlineStr">
        <is>
          <t>Kontrol A.5.36 relevan dan wajib diterapkan pada platform operasional auditsphere.app.</t>
        </is>
      </c>
      <c r="I42" s="13" t="inlineStr">
        <is>
          <t>Diterapkan</t>
        </is>
      </c>
      <c r="J42" s="13" t="inlineStr">
        <is>
          <t>Lengkap</t>
        </is>
      </c>
      <c r="K42" s="13" t="inlineStr">
        <is>
          <t>DOC-ISO-AS-001-AnnexA-Review</t>
        </is>
      </c>
      <c r="L42" s="13" t="inlineStr">
        <is>
          <t>Lead Information Security</t>
        </is>
      </c>
      <c r="M42" s="14" t="n">
        <v>46302</v>
      </c>
      <c r="N42" s="14" t="n">
        <v>46477</v>
      </c>
      <c r="O42" s="13" t="inlineStr">
        <is>
          <t>Memadai</t>
        </is>
      </c>
      <c r="P42" s="13" t="inlineStr">
        <is>
          <t>Efektif</t>
        </is>
      </c>
      <c r="Q42" s="13" t="inlineStr">
        <is>
          <t>Peninjauan berkala kepatuhan internal terhadap kontrol ISO 27001 dan baseline hardening.</t>
        </is>
      </c>
      <c r="R42" s="13" t="inlineStr">
        <is>
          <t>Pertahankan efektivitas kontrol dan lakukan review operasional berkala</t>
        </is>
      </c>
      <c r="S42" s="13" t="inlineStr">
        <is>
          <t>Sedang</t>
        </is>
      </c>
      <c r="T42" s="14" t="n">
        <v>46477</v>
      </c>
      <c r="U42" s="13" t="inlineStr">
        <is>
          <t>Dimas (Group Vision)</t>
        </is>
      </c>
      <c r="V42" s="14" t="n">
        <v>46302</v>
      </c>
      <c r="W42" s="31">
        <f>IF(G42="Belum ditentukan","Tentukan relevansi",IF(G42="Tidak berlaku",IF(OR(H42="",U42="",V42=""),"Lengkapi justifikasi","Tercatat"),IF(OR(J42="",L42="",N42="",O42="",P42=""),"Lengkapi assessment",IF(AND(I42="Diterapkan",J42="Lengkap",O42="Memadai",P42="Efektif",OR(K42="",U42="",V42="")),"Lengkapi bukti/reviewer","Tercatat"))))</f>
        <v/>
      </c>
      <c r="X42" s="31">
        <f>IF(G42="Belum ditentukan","Belum dinilai",IF(G42="Tidak berlaku",IF(W42="Tercatat","Dikecualikan","Belum siap"),IF(AND(I42="Diterapkan",J42="Lengkap",O42="Memadai",P42="Efektif",W42="Tercatat"),"Siap","Belum siap")))</f>
        <v/>
      </c>
      <c r="Y42" s="31">
        <f>IF(G42="Belum ditentukan","Belum dijadwalkan",IF(N42="","Tanpa jadwal",IF(N42&lt;'Master Data'!$C$9,"Review lewat","Dalam jadwal")))</f>
        <v/>
      </c>
      <c r="Z42" s="31">
        <f>IF(X42="Belum dinilai","Belum dinilai",IF(AND(OR(X42="Siap",X42="Dikecualikan"),Y42="Dalam jadwal"),"Tidak","Ya"))</f>
        <v/>
      </c>
    </row>
    <row r="43" ht="63.95" customHeight="1">
      <c r="A43" s="1" t="n"/>
      <c r="B43" s="12" t="inlineStr">
        <is>
          <t>A.5.37</t>
        </is>
      </c>
      <c r="C43" s="32" t="inlineStr">
        <is>
          <t>Organizational</t>
        </is>
      </c>
      <c r="D43" s="32" t="inlineStr">
        <is>
          <t>Prosedur operasi terdokumentasi</t>
        </is>
      </c>
      <c r="E43" s="32" t="inlineStr">
        <is>
          <t>Aktivitas operasional penting memiliki prosedur terkendali</t>
        </is>
      </c>
      <c r="F43" s="32" t="inlineStr">
        <is>
          <t>SOP, runbook, approval, version history, operator record</t>
        </is>
      </c>
      <c r="G43" s="13" t="inlineStr">
        <is>
          <t>Berlaku</t>
        </is>
      </c>
      <c r="H43" s="13" t="inlineStr">
        <is>
          <t>Kontrol A.5.37 relevan dan wajib diterapkan pada platform operasional auditsphere.app.</t>
        </is>
      </c>
      <c r="I43" s="13" t="inlineStr">
        <is>
          <t>Diterapkan</t>
        </is>
      </c>
      <c r="J43" s="13" t="inlineStr">
        <is>
          <t>Lengkap</t>
        </is>
      </c>
      <c r="K43" s="13" t="inlineStr">
        <is>
          <t>DOC-BACKEND_RUN_AND_DEPLOY.md</t>
        </is>
      </c>
      <c r="L43" s="13" t="inlineStr">
        <is>
          <t>DevOps Lead</t>
        </is>
      </c>
      <c r="M43" s="14" t="n">
        <v>46302</v>
      </c>
      <c r="N43" s="14" t="n">
        <v>46477</v>
      </c>
      <c r="O43" s="13" t="inlineStr">
        <is>
          <t>Memadai</t>
        </is>
      </c>
      <c r="P43" s="13" t="inlineStr">
        <is>
          <t>Efektif</t>
        </is>
      </c>
      <c r="Q43" s="13" t="inlineStr">
        <is>
          <t>Panduan operasional baku deployment, manajemen rute, dan administrasi database tersedia lengkap.</t>
        </is>
      </c>
      <c r="R43" s="13" t="inlineStr">
        <is>
          <t>Pertahankan efektivitas kontrol dan lakukan review operasional berkala</t>
        </is>
      </c>
      <c r="S43" s="13" t="inlineStr">
        <is>
          <t>Sedang</t>
        </is>
      </c>
      <c r="T43" s="14" t="n">
        <v>46477</v>
      </c>
      <c r="U43" s="13" t="inlineStr">
        <is>
          <t>Dimas (Group Vision)</t>
        </is>
      </c>
      <c r="V43" s="14" t="n">
        <v>46302</v>
      </c>
      <c r="W43" s="31">
        <f>IF(G43="Belum ditentukan","Tentukan relevansi",IF(G43="Tidak berlaku",IF(OR(H43="",U43="",V43=""),"Lengkapi justifikasi","Tercatat"),IF(OR(J43="",L43="",N43="",O43="",P43=""),"Lengkapi assessment",IF(AND(I43="Diterapkan",J43="Lengkap",O43="Memadai",P43="Efektif",OR(K43="",U43="",V43="")),"Lengkapi bukti/reviewer","Tercatat"))))</f>
        <v/>
      </c>
      <c r="X43" s="31">
        <f>IF(G43="Belum ditentukan","Belum dinilai",IF(G43="Tidak berlaku",IF(W43="Tercatat","Dikecualikan","Belum siap"),IF(AND(I43="Diterapkan",J43="Lengkap",O43="Memadai",P43="Efektif",W43="Tercatat"),"Siap","Belum siap")))</f>
        <v/>
      </c>
      <c r="Y43" s="31">
        <f>IF(G43="Belum ditentukan","Belum dijadwalkan",IF(N43="","Tanpa jadwal",IF(N43&lt;'Master Data'!$C$9,"Review lewat","Dalam jadwal")))</f>
        <v/>
      </c>
      <c r="Z43" s="31">
        <f>IF(X43="Belum dinilai","Belum dinilai",IF(AND(OR(X43="Siap",X43="Dikecualikan"),Y43="Dalam jadwal"),"Tidak","Ya"))</f>
        <v/>
      </c>
    </row>
    <row r="44" ht="63.95" customHeight="1">
      <c r="A44" s="1" t="n"/>
      <c r="B44" s="12" t="inlineStr">
        <is>
          <t>A.6.1</t>
        </is>
      </c>
      <c r="C44" s="32" t="inlineStr">
        <is>
          <t>People</t>
        </is>
      </c>
      <c r="D44" s="32" t="inlineStr">
        <is>
          <t>Penyaringan personel</t>
        </is>
      </c>
      <c r="E44" s="32" t="inlineStr">
        <is>
          <t>Pemeriksaan latar belakang proporsional dilakukan sebelum penempatan</t>
        </is>
      </c>
      <c r="F44" s="32" t="inlineStr">
        <is>
          <t>Screening policy, consent, hasil verifikasi, exception approval</t>
        </is>
      </c>
      <c r="G44" s="13" t="inlineStr">
        <is>
          <t>Berlaku</t>
        </is>
      </c>
      <c r="H44" s="13" t="inlineStr">
        <is>
          <t>Kontrol A.6.1 relevan dan wajib diterapkan pada platform operasional auditsphere.app.</t>
        </is>
      </c>
      <c r="I44" s="13" t="inlineStr">
        <is>
          <t>Diterapkan</t>
        </is>
      </c>
      <c r="J44" s="13" t="inlineStr">
        <is>
          <t>Lengkap</t>
        </is>
      </c>
      <c r="K44" s="13" t="inlineStr">
        <is>
          <t>DOC-HR-BackgroundCheck-SOP</t>
        </is>
      </c>
      <c r="L44" s="13" t="inlineStr">
        <is>
          <t>HR Lead</t>
        </is>
      </c>
      <c r="M44" s="14" t="n">
        <v>46302</v>
      </c>
      <c r="N44" s="14" t="n">
        <v>46477</v>
      </c>
      <c r="O44" s="13" t="inlineStr">
        <is>
          <t>Memadai</t>
        </is>
      </c>
      <c r="P44" s="13" t="inlineStr">
        <is>
          <t>Efektif</t>
        </is>
      </c>
      <c r="Q44" s="13" t="inlineStr">
        <is>
          <t>Verifikasi identitas dan rekam jejak profesional personel dilakukan sebelum penugasan proyek.</t>
        </is>
      </c>
      <c r="R44" s="13" t="inlineStr">
        <is>
          <t>Pertahankan efektivitas kontrol dan lakukan review operasional berkala</t>
        </is>
      </c>
      <c r="S44" s="13" t="inlineStr">
        <is>
          <t>Sedang</t>
        </is>
      </c>
      <c r="T44" s="14" t="n">
        <v>46477</v>
      </c>
      <c r="U44" s="13" t="inlineStr">
        <is>
          <t>Dimas (Group Vision)</t>
        </is>
      </c>
      <c r="V44" s="14" t="n">
        <v>46302</v>
      </c>
      <c r="W44" s="31">
        <f>IF(G44="Belum ditentukan","Tentukan relevansi",IF(G44="Tidak berlaku",IF(OR(H44="",U44="",V44=""),"Lengkapi justifikasi","Tercatat"),IF(OR(J44="",L44="",N44="",O44="",P44=""),"Lengkapi assessment",IF(AND(I44="Diterapkan",J44="Lengkap",O44="Memadai",P44="Efektif",OR(K44="",U44="",V44="")),"Lengkapi bukti/reviewer","Tercatat"))))</f>
        <v/>
      </c>
      <c r="X44" s="31">
        <f>IF(G44="Belum ditentukan","Belum dinilai",IF(G44="Tidak berlaku",IF(W44="Tercatat","Dikecualikan","Belum siap"),IF(AND(I44="Diterapkan",J44="Lengkap",O44="Memadai",P44="Efektif",W44="Tercatat"),"Siap","Belum siap")))</f>
        <v/>
      </c>
      <c r="Y44" s="31">
        <f>IF(G44="Belum ditentukan","Belum dijadwalkan",IF(N44="","Tanpa jadwal",IF(N44&lt;'Master Data'!$C$9,"Review lewat","Dalam jadwal")))</f>
        <v/>
      </c>
      <c r="Z44" s="31">
        <f>IF(X44="Belum dinilai","Belum dinilai",IF(AND(OR(X44="Siap",X44="Dikecualikan"),Y44="Dalam jadwal"),"Tidak","Ya"))</f>
        <v/>
      </c>
    </row>
    <row r="45" ht="63.95" customHeight="1">
      <c r="A45" s="1" t="n"/>
      <c r="B45" s="12" t="inlineStr">
        <is>
          <t>A.6.2</t>
        </is>
      </c>
      <c r="C45" s="32" t="inlineStr">
        <is>
          <t>People</t>
        </is>
      </c>
      <c r="D45" s="32" t="inlineStr">
        <is>
          <t>Syarat dan ketentuan kerja</t>
        </is>
      </c>
      <c r="E45" s="32" t="inlineStr">
        <is>
          <t>Kewajiban keamanan tercantum pada kontrak atau ketentuan kerja</t>
        </is>
      </c>
      <c r="F45" s="32" t="inlineStr">
        <is>
          <t>Kontrak kerja, code of conduct, acknowledgement</t>
        </is>
      </c>
      <c r="G45" s="13" t="inlineStr">
        <is>
          <t>Berlaku</t>
        </is>
      </c>
      <c r="H45" s="13" t="inlineStr">
        <is>
          <t>Kontrol A.6.2 relevan dan wajib diterapkan pada platform operasional auditsphere.app.</t>
        </is>
      </c>
      <c r="I45" s="13" t="inlineStr">
        <is>
          <t>Diterapkan</t>
        </is>
      </c>
      <c r="J45" s="13" t="inlineStr">
        <is>
          <t>Lengkap</t>
        </is>
      </c>
      <c r="K45" s="13" t="inlineStr">
        <is>
          <t>DOC-Employment-Contract-Annex</t>
        </is>
      </c>
      <c r="L45" s="13" t="inlineStr">
        <is>
          <t>HR Lead</t>
        </is>
      </c>
      <c r="M45" s="14" t="n">
        <v>46302</v>
      </c>
      <c r="N45" s="14" t="n">
        <v>46477</v>
      </c>
      <c r="O45" s="13" t="inlineStr">
        <is>
          <t>Memadai</t>
        </is>
      </c>
      <c r="P45" s="13" t="inlineStr">
        <is>
          <t>Efektif</t>
        </is>
      </c>
      <c r="Q45" s="13" t="inlineStr">
        <is>
          <t>Perjanjian kerja memuat klausul kewajiban perlindungan informasi dan kerahasiaan data rahasia.</t>
        </is>
      </c>
      <c r="R45" s="13" t="inlineStr">
        <is>
          <t>Pertahankan efektivitas kontrol dan lakukan review operasional berkala</t>
        </is>
      </c>
      <c r="S45" s="13" t="inlineStr">
        <is>
          <t>Sedang</t>
        </is>
      </c>
      <c r="T45" s="14" t="n">
        <v>46477</v>
      </c>
      <c r="U45" s="13" t="inlineStr">
        <is>
          <t>Dimas (Group Vision)</t>
        </is>
      </c>
      <c r="V45" s="14" t="n">
        <v>46302</v>
      </c>
      <c r="W45" s="31">
        <f>IF(G45="Belum ditentukan","Tentukan relevansi",IF(G45="Tidak berlaku",IF(OR(H45="",U45="",V45=""),"Lengkapi justifikasi","Tercatat"),IF(OR(J45="",L45="",N45="",O45="",P45=""),"Lengkapi assessment",IF(AND(I45="Diterapkan",J45="Lengkap",O45="Memadai",P45="Efektif",OR(K45="",U45="",V45="")),"Lengkapi bukti/reviewer","Tercatat"))))</f>
        <v/>
      </c>
      <c r="X45" s="31">
        <f>IF(G45="Belum ditentukan","Belum dinilai",IF(G45="Tidak berlaku",IF(W45="Tercatat","Dikecualikan","Belum siap"),IF(AND(I45="Diterapkan",J45="Lengkap",O45="Memadai",P45="Efektif",W45="Tercatat"),"Siap","Belum siap")))</f>
        <v/>
      </c>
      <c r="Y45" s="31">
        <f>IF(G45="Belum ditentukan","Belum dijadwalkan",IF(N45="","Tanpa jadwal",IF(N45&lt;'Master Data'!$C$9,"Review lewat","Dalam jadwal")))</f>
        <v/>
      </c>
      <c r="Z45" s="31">
        <f>IF(X45="Belum dinilai","Belum dinilai",IF(AND(OR(X45="Siap",X45="Dikecualikan"),Y45="Dalam jadwal"),"Tidak","Ya"))</f>
        <v/>
      </c>
    </row>
    <row r="46" ht="63.95" customHeight="1">
      <c r="A46" s="1" t="n"/>
      <c r="B46" s="12" t="inlineStr">
        <is>
          <t>A.6.3</t>
        </is>
      </c>
      <c r="C46" s="32" t="inlineStr">
        <is>
          <t>People</t>
        </is>
      </c>
      <c r="D46" s="32" t="inlineStr">
        <is>
          <t>Awareness, edukasi, dan pelatihan keamanan</t>
        </is>
      </c>
      <c r="E46" s="32" t="inlineStr">
        <is>
          <t>Program pelatihan sesuai peran diberikan dan efektivitasnya diukur</t>
        </is>
      </c>
      <c r="F46" s="32" t="inlineStr">
        <is>
          <t>Materi, attendance, quiz, simulasi phishing, training matrix</t>
        </is>
      </c>
      <c r="G46" s="13" t="inlineStr">
        <is>
          <t>Berlaku</t>
        </is>
      </c>
      <c r="H46" s="13" t="inlineStr">
        <is>
          <t>Membangun kesadaran keamanan bagi seluruh personel engineering dan pengelola data audit.</t>
        </is>
      </c>
      <c r="I46" s="13" t="n"/>
      <c r="J46" s="13" t="n"/>
      <c r="K46" s="13" t="n"/>
      <c r="L46" s="13" t="inlineStr">
        <is>
          <t>Security Officer / HR</t>
        </is>
      </c>
      <c r="M46" s="14" t="n">
        <v>46302</v>
      </c>
      <c r="N46" s="14" t="n">
        <v>46387</v>
      </c>
      <c r="O46" s="13" t="n"/>
      <c r="P46" s="13" t="n"/>
      <c r="Q46" s="13" t="inlineStr">
        <is>
          <t>Program security awareness training berkala belum memiliki silabus formal dan simulasi phishing terukur.</t>
        </is>
      </c>
      <c r="R46" s="13" t="inlineStr">
        <is>
          <t>Rekomendasi: Susun modul pelatihan keamanan informasi tahunan (termasuk secure coding untuk developer) dan jalankan simulasi phishing internal semesteran.</t>
        </is>
      </c>
      <c r="S46" s="13" t="inlineStr">
        <is>
          <t>Sedang</t>
        </is>
      </c>
      <c r="T46" s="14" t="n">
        <v>46387</v>
      </c>
      <c r="U46" s="13" t="n"/>
      <c r="V46" s="14" t="n"/>
      <c r="W46" s="31">
        <f>IF(G46="Belum ditentukan","Tentukan relevansi",IF(G46="Tidak berlaku",IF(OR(H46="",U46="",V46=""),"Lengkapi justifikasi","Tercatat"),IF(OR(J46="",L46="",N46="",O46="",P46=""),"Lengkapi assessment",IF(AND(I46="Diterapkan",J46="Lengkap",O46="Memadai",P46="Efektif",OR(K46="",U46="",V46="")),"Lengkapi bukti/reviewer","Tercatat"))))</f>
        <v/>
      </c>
      <c r="X46" s="31">
        <f>IF(G46="Belum ditentukan","Belum dinilai",IF(G46="Tidak berlaku",IF(W46="Tercatat","Dikecualikan","Belum siap"),IF(AND(I46="Diterapkan",J46="Lengkap",O46="Memadai",P46="Efektif",W46="Tercatat"),"Siap","Belum siap")))</f>
        <v/>
      </c>
      <c r="Y46" s="31">
        <f>IF(G46="Belum ditentukan","Belum dijadwalkan",IF(N46="","Tanpa jadwal",IF(N46&lt;'Master Data'!$C$9,"Review lewat","Dalam jadwal")))</f>
        <v/>
      </c>
      <c r="Z46" s="31">
        <f>IF(X46="Belum dinilai","Belum dinilai",IF(AND(OR(X46="Siap",X46="Dikecualikan"),Y46="Dalam jadwal"),"Tidak","Ya"))</f>
        <v/>
      </c>
    </row>
    <row r="47" ht="63.95" customHeight="1">
      <c r="A47" s="1" t="n"/>
      <c r="B47" s="12" t="inlineStr">
        <is>
          <t>A.6.4</t>
        </is>
      </c>
      <c r="C47" s="32" t="inlineStr">
        <is>
          <t>People</t>
        </is>
      </c>
      <c r="D47" s="32" t="inlineStr">
        <is>
          <t>Proses disipliner</t>
        </is>
      </c>
      <c r="E47" s="32" t="inlineStr">
        <is>
          <t>Pelanggaran keamanan memiliki proses disipliner yang formal</t>
        </is>
      </c>
      <c r="F47" s="32" t="inlineStr">
        <is>
          <t>Disciplinary policy, case log anonim, keputusan dan approval</t>
        </is>
      </c>
      <c r="G47" s="13" t="inlineStr">
        <is>
          <t>Berlaku</t>
        </is>
      </c>
      <c r="H47" s="13" t="inlineStr">
        <is>
          <t>Kontrol A.6.4 relevan dan wajib diterapkan pada platform operasional auditsphere.app.</t>
        </is>
      </c>
      <c r="I47" s="13" t="inlineStr">
        <is>
          <t>Diterapkan</t>
        </is>
      </c>
      <c r="J47" s="13" t="inlineStr">
        <is>
          <t>Lengkap</t>
        </is>
      </c>
      <c r="K47" s="13" t="inlineStr">
        <is>
          <t>DOC-Peraturan-Perusahaan-Sec8</t>
        </is>
      </c>
      <c r="L47" s="13" t="inlineStr">
        <is>
          <t>HR Lead</t>
        </is>
      </c>
      <c r="M47" s="14" t="n">
        <v>46302</v>
      </c>
      <c r="N47" s="14" t="n">
        <v>46477</v>
      </c>
      <c r="O47" s="13" t="inlineStr">
        <is>
          <t>Memadai</t>
        </is>
      </c>
      <c r="P47" s="13" t="inlineStr">
        <is>
          <t>Efektif</t>
        </is>
      </c>
      <c r="Q47" s="13" t="inlineStr">
        <is>
          <t>Prosedur penegakan disiplin dan sanksi formal atas pelanggaran keamanan informasi tercantum resmi.</t>
        </is>
      </c>
      <c r="R47" s="13" t="inlineStr">
        <is>
          <t>Pertahankan efektivitas kontrol dan lakukan review operasional berkala</t>
        </is>
      </c>
      <c r="S47" s="13" t="inlineStr">
        <is>
          <t>Sedang</t>
        </is>
      </c>
      <c r="T47" s="14" t="n">
        <v>46477</v>
      </c>
      <c r="U47" s="13" t="inlineStr">
        <is>
          <t>Dimas (Group Vision)</t>
        </is>
      </c>
      <c r="V47" s="14" t="n">
        <v>46302</v>
      </c>
      <c r="W47" s="31">
        <f>IF(G47="Belum ditentukan","Tentukan relevansi",IF(G47="Tidak berlaku",IF(OR(H47="",U47="",V47=""),"Lengkapi justifikasi","Tercatat"),IF(OR(J47="",L47="",N47="",O47="",P47=""),"Lengkapi assessment",IF(AND(I47="Diterapkan",J47="Lengkap",O47="Memadai",P47="Efektif",OR(K47="",U47="",V47="")),"Lengkapi bukti/reviewer","Tercatat"))))</f>
        <v/>
      </c>
      <c r="X47" s="31">
        <f>IF(G47="Belum ditentukan","Belum dinilai",IF(G47="Tidak berlaku",IF(W47="Tercatat","Dikecualikan","Belum siap"),IF(AND(I47="Diterapkan",J47="Lengkap",O47="Memadai",P47="Efektif",W47="Tercatat"),"Siap","Belum siap")))</f>
        <v/>
      </c>
      <c r="Y47" s="31">
        <f>IF(G47="Belum ditentukan","Belum dijadwalkan",IF(N47="","Tanpa jadwal",IF(N47&lt;'Master Data'!$C$9,"Review lewat","Dalam jadwal")))</f>
        <v/>
      </c>
      <c r="Z47" s="31">
        <f>IF(X47="Belum dinilai","Belum dinilai",IF(AND(OR(X47="Siap",X47="Dikecualikan"),Y47="Dalam jadwal"),"Tidak","Ya"))</f>
        <v/>
      </c>
    </row>
    <row r="48" ht="63.95" customHeight="1">
      <c r="A48" s="1" t="n"/>
      <c r="B48" s="12" t="inlineStr">
        <is>
          <t>A.6.5</t>
        </is>
      </c>
      <c r="C48" s="32" t="inlineStr">
        <is>
          <t>People</t>
        </is>
      </c>
      <c r="D48" s="32" t="inlineStr">
        <is>
          <t>Tanggung jawab setelah perubahan atau terminasi</t>
        </is>
      </c>
      <c r="E48" s="32" t="inlineStr">
        <is>
          <t>Kewajiban dan akses disesuaikan saat mutasi atau keluar</t>
        </is>
      </c>
      <c r="F48" s="32" t="inlineStr">
        <is>
          <t>Offboarding/mover checklist, NDA, revoke log, exit interview</t>
        </is>
      </c>
      <c r="G48" s="13" t="inlineStr">
        <is>
          <t>Berlaku</t>
        </is>
      </c>
      <c r="H48" s="13" t="inlineStr">
        <is>
          <t>Kontrol A.6.5 relevan dan wajib diterapkan pada platform operasional auditsphere.app.</t>
        </is>
      </c>
      <c r="I48" s="13" t="inlineStr">
        <is>
          <t>Diterapkan</t>
        </is>
      </c>
      <c r="J48" s="13" t="inlineStr">
        <is>
          <t>Lengkap</t>
        </is>
      </c>
      <c r="K48" s="13" t="inlineStr">
        <is>
          <t>SRC-backend/auth-service/services/user</t>
        </is>
      </c>
      <c r="L48" s="13" t="inlineStr">
        <is>
          <t>Engineering Lead</t>
        </is>
      </c>
      <c r="M48" s="14" t="n">
        <v>46302</v>
      </c>
      <c r="N48" s="14" t="n">
        <v>46477</v>
      </c>
      <c r="O48" s="13" t="inlineStr">
        <is>
          <t>Memadai</t>
        </is>
      </c>
      <c r="P48" s="13" t="inlineStr">
        <is>
          <t>Efektif</t>
        </is>
      </c>
      <c r="Q48" s="13" t="inlineStr">
        <is>
          <t>Penonaktifan akun pengguna seketika dan pembatalan token saat mutasi atau terminasi personel.</t>
        </is>
      </c>
      <c r="R48" s="13" t="inlineStr">
        <is>
          <t>Pertahankan efektivitas kontrol dan lakukan review operasional berkala</t>
        </is>
      </c>
      <c r="S48" s="13" t="inlineStr">
        <is>
          <t>Sedang</t>
        </is>
      </c>
      <c r="T48" s="14" t="n">
        <v>46477</v>
      </c>
      <c r="U48" s="13" t="inlineStr">
        <is>
          <t>Dimas (Group Vision)</t>
        </is>
      </c>
      <c r="V48" s="14" t="n">
        <v>46302</v>
      </c>
      <c r="W48" s="31">
        <f>IF(G48="Belum ditentukan","Tentukan relevansi",IF(G48="Tidak berlaku",IF(OR(H48="",U48="",V48=""),"Lengkapi justifikasi","Tercatat"),IF(OR(J48="",L48="",N48="",O48="",P48=""),"Lengkapi assessment",IF(AND(I48="Diterapkan",J48="Lengkap",O48="Memadai",P48="Efektif",OR(K48="",U48="",V48="")),"Lengkapi bukti/reviewer","Tercatat"))))</f>
        <v/>
      </c>
      <c r="X48" s="31">
        <f>IF(G48="Belum ditentukan","Belum dinilai",IF(G48="Tidak berlaku",IF(W48="Tercatat","Dikecualikan","Belum siap"),IF(AND(I48="Diterapkan",J48="Lengkap",O48="Memadai",P48="Efektif",W48="Tercatat"),"Siap","Belum siap")))</f>
        <v/>
      </c>
      <c r="Y48" s="31">
        <f>IF(G48="Belum ditentukan","Belum dijadwalkan",IF(N48="","Tanpa jadwal",IF(N48&lt;'Master Data'!$C$9,"Review lewat","Dalam jadwal")))</f>
        <v/>
      </c>
      <c r="Z48" s="31">
        <f>IF(X48="Belum dinilai","Belum dinilai",IF(AND(OR(X48="Siap",X48="Dikecualikan"),Y48="Dalam jadwal"),"Tidak","Ya"))</f>
        <v/>
      </c>
    </row>
    <row r="49" ht="63.95" customHeight="1">
      <c r="A49" s="1" t="n"/>
      <c r="B49" s="12" t="inlineStr">
        <is>
          <t>A.6.6</t>
        </is>
      </c>
      <c r="C49" s="32" t="inlineStr">
        <is>
          <t>People</t>
        </is>
      </c>
      <c r="D49" s="32" t="inlineStr">
        <is>
          <t>Perjanjian kerahasiaan</t>
        </is>
      </c>
      <c r="E49" s="32" t="inlineStr">
        <is>
          <t>NDA relevan, ditandatangani, dan ditinjau sesuai kebutuhan</t>
        </is>
      </c>
      <c r="F49" s="32" t="inlineStr">
        <is>
          <t>Template NDA, register penandatangan, review legal</t>
        </is>
      </c>
      <c r="G49" s="13" t="inlineStr">
        <is>
          <t>Berlaku</t>
        </is>
      </c>
      <c r="H49" s="13" t="inlineStr">
        <is>
          <t>Kontrol A.6.6 relevan dan wajib diterapkan pada platform operasional auditsphere.app.</t>
        </is>
      </c>
      <c r="I49" s="13" t="inlineStr">
        <is>
          <t>Diterapkan</t>
        </is>
      </c>
      <c r="J49" s="13" t="inlineStr">
        <is>
          <t>Lengkap</t>
        </is>
      </c>
      <c r="K49" s="13" t="inlineStr">
        <is>
          <t>DOC-NDA-Corporate-Template</t>
        </is>
      </c>
      <c r="L49" s="13" t="inlineStr">
        <is>
          <t>Legal Counsel</t>
        </is>
      </c>
      <c r="M49" s="14" t="n">
        <v>46302</v>
      </c>
      <c r="N49" s="14" t="n">
        <v>46477</v>
      </c>
      <c r="O49" s="13" t="inlineStr">
        <is>
          <t>Memadai</t>
        </is>
      </c>
      <c r="P49" s="13" t="inlineStr">
        <is>
          <t>Efektif</t>
        </is>
      </c>
      <c r="Q49" s="13" t="inlineStr">
        <is>
          <t>Penandatanganan Non-Disclosure Agreement (NDA) wajib bagi seluruh staf dan auditor sebelum akses.</t>
        </is>
      </c>
      <c r="R49" s="13" t="inlineStr">
        <is>
          <t>Pertahankan efektivitas kontrol dan lakukan review operasional berkala</t>
        </is>
      </c>
      <c r="S49" s="13" t="inlineStr">
        <is>
          <t>Sedang</t>
        </is>
      </c>
      <c r="T49" s="14" t="n">
        <v>46477</v>
      </c>
      <c r="U49" s="13" t="inlineStr">
        <is>
          <t>Dimas (Group Vision)</t>
        </is>
      </c>
      <c r="V49" s="14" t="n">
        <v>46302</v>
      </c>
      <c r="W49" s="31">
        <f>IF(G49="Belum ditentukan","Tentukan relevansi",IF(G49="Tidak berlaku",IF(OR(H49="",U49="",V49=""),"Lengkapi justifikasi","Tercatat"),IF(OR(J49="",L49="",N49="",O49="",P49=""),"Lengkapi assessment",IF(AND(I49="Diterapkan",J49="Lengkap",O49="Memadai",P49="Efektif",OR(K49="",U49="",V49="")),"Lengkapi bukti/reviewer","Tercatat"))))</f>
        <v/>
      </c>
      <c r="X49" s="31">
        <f>IF(G49="Belum ditentukan","Belum dinilai",IF(G49="Tidak berlaku",IF(W49="Tercatat","Dikecualikan","Belum siap"),IF(AND(I49="Diterapkan",J49="Lengkap",O49="Memadai",P49="Efektif",W49="Tercatat"),"Siap","Belum siap")))</f>
        <v/>
      </c>
      <c r="Y49" s="31">
        <f>IF(G49="Belum ditentukan","Belum dijadwalkan",IF(N49="","Tanpa jadwal",IF(N49&lt;'Master Data'!$C$9,"Review lewat","Dalam jadwal")))</f>
        <v/>
      </c>
      <c r="Z49" s="31">
        <f>IF(X49="Belum dinilai","Belum dinilai",IF(AND(OR(X49="Siap",X49="Dikecualikan"),Y49="Dalam jadwal"),"Tidak","Ya"))</f>
        <v/>
      </c>
    </row>
    <row r="50" ht="63.95" customHeight="1">
      <c r="A50" s="1" t="n"/>
      <c r="B50" s="12" t="inlineStr">
        <is>
          <t>A.6.7</t>
        </is>
      </c>
      <c r="C50" s="32" t="inlineStr">
        <is>
          <t>People</t>
        </is>
      </c>
      <c r="D50" s="32" t="inlineStr">
        <is>
          <t>Kerja jarak jauh</t>
        </is>
      </c>
      <c r="E50" s="32" t="inlineStr">
        <is>
          <t>Risiko remote working dikendalikan pada perangkat, koneksi, dan lingkungan</t>
        </is>
      </c>
      <c r="F50" s="32" t="inlineStr">
        <is>
          <t>Remote work policy, VPN/MFA config, endpoint report, training</t>
        </is>
      </c>
      <c r="G50" s="13" t="inlineStr">
        <is>
          <t>Berlaku</t>
        </is>
      </c>
      <c r="H50" s="13" t="inlineStr">
        <is>
          <t>Kontrol A.6.7 relevan dan wajib diterapkan pada platform operasional auditsphere.app.</t>
        </is>
      </c>
      <c r="I50" s="13" t="inlineStr">
        <is>
          <t>Diterapkan</t>
        </is>
      </c>
      <c r="J50" s="13" t="inlineStr">
        <is>
          <t>Lengkap</t>
        </is>
      </c>
      <c r="K50" s="13" t="inlineStr">
        <is>
          <t>TEC-SSH-KeyPair-Auth</t>
        </is>
      </c>
      <c r="L50" s="13" t="inlineStr">
        <is>
          <t>DevOps Lead</t>
        </is>
      </c>
      <c r="M50" s="14" t="n">
        <v>46302</v>
      </c>
      <c r="N50" s="14" t="n">
        <v>46477</v>
      </c>
      <c r="O50" s="13" t="inlineStr">
        <is>
          <t>Memadai</t>
        </is>
      </c>
      <c r="P50" s="13" t="inlineStr">
        <is>
          <t>Efektif</t>
        </is>
      </c>
      <c r="Q50" s="13" t="inlineStr">
        <is>
          <t>Akses kerja jarak jauh ke VPS produksi dibatasi via otentikasi SSH key-pair terotentikasi dan MFA.</t>
        </is>
      </c>
      <c r="R50" s="13" t="inlineStr">
        <is>
          <t>Pertahankan efektivitas kontrol dan lakukan review operasional berkala</t>
        </is>
      </c>
      <c r="S50" s="13" t="inlineStr">
        <is>
          <t>Sedang</t>
        </is>
      </c>
      <c r="T50" s="14" t="n">
        <v>46477</v>
      </c>
      <c r="U50" s="13" t="inlineStr">
        <is>
          <t>Dimas (Group Vision)</t>
        </is>
      </c>
      <c r="V50" s="14" t="n">
        <v>46302</v>
      </c>
      <c r="W50" s="31">
        <f>IF(G50="Belum ditentukan","Tentukan relevansi",IF(G50="Tidak berlaku",IF(OR(H50="",U50="",V50=""),"Lengkapi justifikasi","Tercatat"),IF(OR(J50="",L50="",N50="",O50="",P50=""),"Lengkapi assessment",IF(AND(I50="Diterapkan",J50="Lengkap",O50="Memadai",P50="Efektif",OR(K50="",U50="",V50="")),"Lengkapi bukti/reviewer","Tercatat"))))</f>
        <v/>
      </c>
      <c r="X50" s="31">
        <f>IF(G50="Belum ditentukan","Belum dinilai",IF(G50="Tidak berlaku",IF(W50="Tercatat","Dikecualikan","Belum siap"),IF(AND(I50="Diterapkan",J50="Lengkap",O50="Memadai",P50="Efektif",W50="Tercatat"),"Siap","Belum siap")))</f>
        <v/>
      </c>
      <c r="Y50" s="31">
        <f>IF(G50="Belum ditentukan","Belum dijadwalkan",IF(N50="","Tanpa jadwal",IF(N50&lt;'Master Data'!$C$9,"Review lewat","Dalam jadwal")))</f>
        <v/>
      </c>
      <c r="Z50" s="31">
        <f>IF(X50="Belum dinilai","Belum dinilai",IF(AND(OR(X50="Siap",X50="Dikecualikan"),Y50="Dalam jadwal"),"Tidak","Ya"))</f>
        <v/>
      </c>
    </row>
    <row r="51" ht="63.95" customHeight="1">
      <c r="A51" s="1" t="n"/>
      <c r="B51" s="12" t="inlineStr">
        <is>
          <t>A.6.8</t>
        </is>
      </c>
      <c r="C51" s="32" t="inlineStr">
        <is>
          <t>People</t>
        </is>
      </c>
      <c r="D51" s="32" t="inlineStr">
        <is>
          <t>Pelaporan kejadian keamanan</t>
        </is>
      </c>
      <c r="E51" s="32" t="inlineStr">
        <is>
          <t>Personel mengetahui kanal dan kewajiban melaporkan event keamanan</t>
        </is>
      </c>
      <c r="F51" s="32" t="inlineStr">
        <is>
          <t>Prosedur pelaporan, kanal hotline, awareness, ticket sample</t>
        </is>
      </c>
      <c r="G51" s="13" t="inlineStr">
        <is>
          <t>Berlaku</t>
        </is>
      </c>
      <c r="H51" s="13" t="inlineStr">
        <is>
          <t>Kontrol A.6.8 relevan dan wajib diterapkan pada platform operasional auditsphere.app.</t>
        </is>
      </c>
      <c r="I51" s="13" t="inlineStr">
        <is>
          <t>Diterapkan</t>
        </is>
      </c>
      <c r="J51" s="13" t="inlineStr">
        <is>
          <t>Lengkap</t>
        </is>
      </c>
      <c r="K51" s="13" t="inlineStr">
        <is>
          <t>DOC-ISO-AS-001-Sec11.1</t>
        </is>
      </c>
      <c r="L51" s="13" t="inlineStr">
        <is>
          <t>Security Officer</t>
        </is>
      </c>
      <c r="M51" s="14" t="n">
        <v>46302</v>
      </c>
      <c r="N51" s="14" t="n">
        <v>46477</v>
      </c>
      <c r="O51" s="13" t="inlineStr">
        <is>
          <t>Memadai</t>
        </is>
      </c>
      <c r="P51" s="13" t="inlineStr">
        <is>
          <t>Efektif</t>
        </is>
      </c>
      <c r="Q51" s="13" t="inlineStr">
        <is>
          <t>Kanal pelaporan insiden darurat dan hotline keamanan internal tersedia bagi seluruh pengguna.</t>
        </is>
      </c>
      <c r="R51" s="13" t="inlineStr">
        <is>
          <t>Pertahankan efektivitas kontrol dan lakukan review operasional berkala</t>
        </is>
      </c>
      <c r="S51" s="13" t="inlineStr">
        <is>
          <t>Sedang</t>
        </is>
      </c>
      <c r="T51" s="14" t="n">
        <v>46477</v>
      </c>
      <c r="U51" s="13" t="inlineStr">
        <is>
          <t>Dimas (Group Vision)</t>
        </is>
      </c>
      <c r="V51" s="14" t="n">
        <v>46302</v>
      </c>
      <c r="W51" s="31">
        <f>IF(G51="Belum ditentukan","Tentukan relevansi",IF(G51="Tidak berlaku",IF(OR(H51="",U51="",V51=""),"Lengkapi justifikasi","Tercatat"),IF(OR(J51="",L51="",N51="",O51="",P51=""),"Lengkapi assessment",IF(AND(I51="Diterapkan",J51="Lengkap",O51="Memadai",P51="Efektif",OR(K51="",U51="",V51="")),"Lengkapi bukti/reviewer","Tercatat"))))</f>
        <v/>
      </c>
      <c r="X51" s="31">
        <f>IF(G51="Belum ditentukan","Belum dinilai",IF(G51="Tidak berlaku",IF(W51="Tercatat","Dikecualikan","Belum siap"),IF(AND(I51="Diterapkan",J51="Lengkap",O51="Memadai",P51="Efektif",W51="Tercatat"),"Siap","Belum siap")))</f>
        <v/>
      </c>
      <c r="Y51" s="31">
        <f>IF(G51="Belum ditentukan","Belum dijadwalkan",IF(N51="","Tanpa jadwal",IF(N51&lt;'Master Data'!$C$9,"Review lewat","Dalam jadwal")))</f>
        <v/>
      </c>
      <c r="Z51" s="31">
        <f>IF(X51="Belum dinilai","Belum dinilai",IF(AND(OR(X51="Siap",X51="Dikecualikan"),Y51="Dalam jadwal"),"Tidak","Ya"))</f>
        <v/>
      </c>
    </row>
    <row r="52" ht="63.95" customHeight="1">
      <c r="A52" s="1" t="n"/>
      <c r="B52" s="12" t="inlineStr">
        <is>
          <t>A.7.1</t>
        </is>
      </c>
      <c r="C52" s="32" t="inlineStr">
        <is>
          <t>Physical</t>
        </is>
      </c>
      <c r="D52" s="32" t="inlineStr">
        <is>
          <t>Perimeter keamanan fisik</t>
        </is>
      </c>
      <c r="E52" s="32" t="inlineStr">
        <is>
          <t>Batas area sensitif ditetapkan dan dilindungi</t>
        </is>
      </c>
      <c r="F52" s="32" t="inlineStr">
        <is>
          <t>Site plan, zoning, kontrol pintu, hasil inspeksi</t>
        </is>
      </c>
      <c r="G52" s="13" t="inlineStr">
        <is>
          <t>Tidak berlaku</t>
        </is>
      </c>
      <c r="H52" s="13" t="inlineStr">
        <is>
          <t>Perimeter fisik data center server dikelola sepenuhnya oleh penyedia fasilitas cloud/VPS berstandar ISO 27001 (Shared Responsibility Model)</t>
        </is>
      </c>
      <c r="I52" s="13" t="inlineStr">
        <is>
          <t>N/A</t>
        </is>
      </c>
      <c r="J52" s="13" t="inlineStr">
        <is>
          <t>N/A</t>
        </is>
      </c>
      <c r="K52" s="13" t="inlineStr">
        <is>
          <t>DOC-CPA-001-Provider-SOC2-Report</t>
        </is>
      </c>
      <c r="L52" s="13" t="inlineStr">
        <is>
          <t>DevOps Lead</t>
        </is>
      </c>
      <c r="M52" s="14" t="n">
        <v>46302</v>
      </c>
      <c r="N52" s="14" t="n">
        <v>46477</v>
      </c>
      <c r="O52" s="13" t="inlineStr">
        <is>
          <t>N/A</t>
        </is>
      </c>
      <c r="P52" s="13" t="inlineStr">
        <is>
          <t>N/A</t>
        </is>
      </c>
      <c r="Q52" s="13" t="inlineStr">
        <is>
          <t>Dikelola penyedia fasilitas cloud/data center berstandar ISO 27001 (Shared Responsibility Model)</t>
        </is>
      </c>
      <c r="R52" s="13" t="inlineStr">
        <is>
          <t>Verifikasi kepatuhan sertifikat SOC 2 / ISO 27001 provider cloud tahunan</t>
        </is>
      </c>
      <c r="S52" s="13" t="inlineStr">
        <is>
          <t>Rendah</t>
        </is>
      </c>
      <c r="T52" s="14" t="n">
        <v>46477</v>
      </c>
      <c r="U52" s="13" t="inlineStr">
        <is>
          <t>Dimas (Group Vision)</t>
        </is>
      </c>
      <c r="V52" s="14" t="n">
        <v>46302</v>
      </c>
      <c r="W52" s="31">
        <f>IF(G52="Belum ditentukan","Tentukan relevansi",IF(G52="Tidak berlaku",IF(OR(H52="",U52="",V52=""),"Lengkapi justifikasi","Tercatat"),IF(OR(J52="",L52="",N52="",O52="",P52=""),"Lengkapi assessment",IF(AND(I52="Diterapkan",J52="Lengkap",O52="Memadai",P52="Efektif",OR(K52="",U52="",V52="")),"Lengkapi bukti/reviewer","Tercatat"))))</f>
        <v/>
      </c>
      <c r="X52" s="31">
        <f>IF(G52="Belum ditentukan","Belum dinilai",IF(G52="Tidak berlaku",IF(W52="Tercatat","Dikecualikan","Belum siap"),IF(AND(I52="Diterapkan",J52="Lengkap",O52="Memadai",P52="Efektif",W52="Tercatat"),"Siap","Belum siap")))</f>
        <v/>
      </c>
      <c r="Y52" s="31">
        <f>IF(G52="Belum ditentukan","Belum dijadwalkan",IF(N52="","Tanpa jadwal",IF(N52&lt;'Master Data'!$C$9,"Review lewat","Dalam jadwal")))</f>
        <v/>
      </c>
      <c r="Z52" s="31">
        <f>IF(X52="Belum dinilai","Belum dinilai",IF(AND(OR(X52="Siap",X52="Dikecualikan"),Y52="Dalam jadwal"),"Tidak","Ya"))</f>
        <v/>
      </c>
    </row>
    <row r="53" ht="63.95" customHeight="1">
      <c r="A53" s="1" t="n"/>
      <c r="B53" s="12" t="inlineStr">
        <is>
          <t>A.7.2</t>
        </is>
      </c>
      <c r="C53" s="32" t="inlineStr">
        <is>
          <t>Physical</t>
        </is>
      </c>
      <c r="D53" s="32" t="inlineStr">
        <is>
          <t>Akses masuk fisik</t>
        </is>
      </c>
      <c r="E53" s="32" t="inlineStr">
        <is>
          <t>Akses fisik diotorisasi, dicatat, dan dicabut tepat waktu</t>
        </is>
      </c>
      <c r="F53" s="32" t="inlineStr">
        <is>
          <t>Access badge list, visitor log, review akses, CCTV sample</t>
        </is>
      </c>
      <c r="G53" s="13" t="inlineStr">
        <is>
          <t>Tidak berlaku</t>
        </is>
      </c>
      <c r="H53" s="13" t="inlineStr">
        <is>
          <t>Akses masuk fisik gedung data center dikendalikan oleh penyedia cloud pihak ketiga dengan otorisasi biometrik/badge (CSRM-001)</t>
        </is>
      </c>
      <c r="I53" s="13" t="inlineStr">
        <is>
          <t>N/A</t>
        </is>
      </c>
      <c r="J53" s="13" t="inlineStr">
        <is>
          <t>N/A</t>
        </is>
      </c>
      <c r="K53" s="13" t="inlineStr">
        <is>
          <t>DOC-CPA-001-Provider-SOC2-Report</t>
        </is>
      </c>
      <c r="L53" s="13" t="inlineStr">
        <is>
          <t>DevOps Lead</t>
        </is>
      </c>
      <c r="M53" s="14" t="n">
        <v>46302</v>
      </c>
      <c r="N53" s="14" t="n">
        <v>46477</v>
      </c>
      <c r="O53" s="13" t="inlineStr">
        <is>
          <t>N/A</t>
        </is>
      </c>
      <c r="P53" s="13" t="inlineStr">
        <is>
          <t>N/A</t>
        </is>
      </c>
      <c r="Q53" s="13" t="inlineStr">
        <is>
          <t>Dikelola penyedia fasilitas cloud/data center berstandar ISO 27001 (Shared Responsibility Model)</t>
        </is>
      </c>
      <c r="R53" s="13" t="inlineStr">
        <is>
          <t>Verifikasi kepatuhan sertifikat SOC 2 / ISO 27001 provider cloud tahunan</t>
        </is>
      </c>
      <c r="S53" s="13" t="inlineStr">
        <is>
          <t>Rendah</t>
        </is>
      </c>
      <c r="T53" s="14" t="n">
        <v>46477</v>
      </c>
      <c r="U53" s="13" t="inlineStr">
        <is>
          <t>Dimas (Group Vision)</t>
        </is>
      </c>
      <c r="V53" s="14" t="n">
        <v>46302</v>
      </c>
      <c r="W53" s="31">
        <f>IF(G53="Belum ditentukan","Tentukan relevansi",IF(G53="Tidak berlaku",IF(OR(H53="",U53="",V53=""),"Lengkapi justifikasi","Tercatat"),IF(OR(J53="",L53="",N53="",O53="",P53=""),"Lengkapi assessment",IF(AND(I53="Diterapkan",J53="Lengkap",O53="Memadai",P53="Efektif",OR(K53="",U53="",V53="")),"Lengkapi bukti/reviewer","Tercatat"))))</f>
        <v/>
      </c>
      <c r="X53" s="31">
        <f>IF(G53="Belum ditentukan","Belum dinilai",IF(G53="Tidak berlaku",IF(W53="Tercatat","Dikecualikan","Belum siap"),IF(AND(I53="Diterapkan",J53="Lengkap",O53="Memadai",P53="Efektif",W53="Tercatat"),"Siap","Belum siap")))</f>
        <v/>
      </c>
      <c r="Y53" s="31">
        <f>IF(G53="Belum ditentukan","Belum dijadwalkan",IF(N53="","Tanpa jadwal",IF(N53&lt;'Master Data'!$C$9,"Review lewat","Dalam jadwal")))</f>
        <v/>
      </c>
      <c r="Z53" s="31">
        <f>IF(X53="Belum dinilai","Belum dinilai",IF(AND(OR(X53="Siap",X53="Dikecualikan"),Y53="Dalam jadwal"),"Tidak","Ya"))</f>
        <v/>
      </c>
    </row>
    <row r="54" ht="63.95" customHeight="1">
      <c r="A54" s="1" t="n"/>
      <c r="B54" s="12" t="inlineStr">
        <is>
          <t>A.7.3</t>
        </is>
      </c>
      <c r="C54" s="32" t="inlineStr">
        <is>
          <t>Physical</t>
        </is>
      </c>
      <c r="D54" s="32" t="inlineStr">
        <is>
          <t>Pengamanan kantor, ruangan, dan fasilitas</t>
        </is>
      </c>
      <c r="E54" s="32" t="inlineStr">
        <is>
          <t>Area kerja dan fasilitas sensitif diamankan sesuai risiko</t>
        </is>
      </c>
      <c r="F54" s="32" t="inlineStr">
        <is>
          <t>Floor plan, kunci/akses, inspeksi, daftar area terbatas</t>
        </is>
      </c>
      <c r="G54" s="13" t="inlineStr">
        <is>
          <t>Tidak berlaku</t>
        </is>
      </c>
      <c r="H54" s="13" t="inlineStr">
        <is>
          <t>Pengamanan fisik ruang server dan fasilitas hosting dikelola oleh CSP bersertifikasi SOC 2 Type II</t>
        </is>
      </c>
      <c r="I54" s="13" t="inlineStr">
        <is>
          <t>N/A</t>
        </is>
      </c>
      <c r="J54" s="13" t="inlineStr">
        <is>
          <t>N/A</t>
        </is>
      </c>
      <c r="K54" s="13" t="inlineStr">
        <is>
          <t>DOC-CPA-001-Provider-SOC2-Report</t>
        </is>
      </c>
      <c r="L54" s="13" t="inlineStr">
        <is>
          <t>DevOps Lead</t>
        </is>
      </c>
      <c r="M54" s="14" t="n">
        <v>46302</v>
      </c>
      <c r="N54" s="14" t="n">
        <v>46477</v>
      </c>
      <c r="O54" s="13" t="inlineStr">
        <is>
          <t>N/A</t>
        </is>
      </c>
      <c r="P54" s="13" t="inlineStr">
        <is>
          <t>N/A</t>
        </is>
      </c>
      <c r="Q54" s="13" t="inlineStr">
        <is>
          <t>Dikelola penyedia fasilitas cloud/data center berstandar ISO 27001 (Shared Responsibility Model)</t>
        </is>
      </c>
      <c r="R54" s="13" t="inlineStr">
        <is>
          <t>Verifikasi kepatuhan sertifikat SOC 2 / ISO 27001 provider cloud tahunan</t>
        </is>
      </c>
      <c r="S54" s="13" t="inlineStr">
        <is>
          <t>Rendah</t>
        </is>
      </c>
      <c r="T54" s="14" t="n">
        <v>46477</v>
      </c>
      <c r="U54" s="13" t="inlineStr">
        <is>
          <t>Dimas (Group Vision)</t>
        </is>
      </c>
      <c r="V54" s="14" t="n">
        <v>46302</v>
      </c>
      <c r="W54" s="31">
        <f>IF(G54="Belum ditentukan","Tentukan relevansi",IF(G54="Tidak berlaku",IF(OR(H54="",U54="",V54=""),"Lengkapi justifikasi","Tercatat"),IF(OR(J54="",L54="",N54="",O54="",P54=""),"Lengkapi assessment",IF(AND(I54="Diterapkan",J54="Lengkap",O54="Memadai",P54="Efektif",OR(K54="",U54="",V54="")),"Lengkapi bukti/reviewer","Tercatat"))))</f>
        <v/>
      </c>
      <c r="X54" s="31">
        <f>IF(G54="Belum ditentukan","Belum dinilai",IF(G54="Tidak berlaku",IF(W54="Tercatat","Dikecualikan","Belum siap"),IF(AND(I54="Diterapkan",J54="Lengkap",O54="Memadai",P54="Efektif",W54="Tercatat"),"Siap","Belum siap")))</f>
        <v/>
      </c>
      <c r="Y54" s="31">
        <f>IF(G54="Belum ditentukan","Belum dijadwalkan",IF(N54="","Tanpa jadwal",IF(N54&lt;'Master Data'!$C$9,"Review lewat","Dalam jadwal")))</f>
        <v/>
      </c>
      <c r="Z54" s="31">
        <f>IF(X54="Belum dinilai","Belum dinilai",IF(AND(OR(X54="Siap",X54="Dikecualikan"),Y54="Dalam jadwal"),"Tidak","Ya"))</f>
        <v/>
      </c>
    </row>
    <row r="55" ht="63.95" customHeight="1">
      <c r="A55" s="1" t="n"/>
      <c r="B55" s="12" t="inlineStr">
        <is>
          <t>A.7.4</t>
        </is>
      </c>
      <c r="C55" s="32" t="inlineStr">
        <is>
          <t>Physical</t>
        </is>
      </c>
      <c r="D55" s="32" t="inlineStr">
        <is>
          <t>Pemantauan keamanan fisik</t>
        </is>
      </c>
      <c r="E55" s="32" t="inlineStr">
        <is>
          <t>Area penting dipantau dan rekaman dikelola aman</t>
        </is>
      </c>
      <c r="F55" s="32" t="inlineStr">
        <is>
          <t>CCTV policy, coverage map, retention config, review log</t>
        </is>
      </c>
      <c r="G55" s="13" t="inlineStr">
        <is>
          <t>Tidak berlaku</t>
        </is>
      </c>
      <c r="H55" s="13" t="inlineStr">
        <is>
          <t>Pemantauan fisik CCTV dan sensor lingkungan 24/7 merupakan tanggung jawab operasional penyedia cloud data center</t>
        </is>
      </c>
      <c r="I55" s="13" t="inlineStr">
        <is>
          <t>N/A</t>
        </is>
      </c>
      <c r="J55" s="13" t="inlineStr">
        <is>
          <t>N/A</t>
        </is>
      </c>
      <c r="K55" s="13" t="inlineStr">
        <is>
          <t>DOC-CPA-001-Provider-SOC2-Report</t>
        </is>
      </c>
      <c r="L55" s="13" t="inlineStr">
        <is>
          <t>DevOps Lead</t>
        </is>
      </c>
      <c r="M55" s="14" t="n">
        <v>46302</v>
      </c>
      <c r="N55" s="14" t="n">
        <v>46477</v>
      </c>
      <c r="O55" s="13" t="inlineStr">
        <is>
          <t>N/A</t>
        </is>
      </c>
      <c r="P55" s="13" t="inlineStr">
        <is>
          <t>N/A</t>
        </is>
      </c>
      <c r="Q55" s="13" t="inlineStr">
        <is>
          <t>Dikelola penyedia fasilitas cloud/data center berstandar ISO 27001 (Shared Responsibility Model)</t>
        </is>
      </c>
      <c r="R55" s="13" t="inlineStr">
        <is>
          <t>Verifikasi kepatuhan sertifikat SOC 2 / ISO 27001 provider cloud tahunan</t>
        </is>
      </c>
      <c r="S55" s="13" t="inlineStr">
        <is>
          <t>Rendah</t>
        </is>
      </c>
      <c r="T55" s="14" t="n">
        <v>46477</v>
      </c>
      <c r="U55" s="13" t="inlineStr">
        <is>
          <t>Dimas (Group Vision)</t>
        </is>
      </c>
      <c r="V55" s="14" t="n">
        <v>46302</v>
      </c>
      <c r="W55" s="31">
        <f>IF(G55="Belum ditentukan","Tentukan relevansi",IF(G55="Tidak berlaku",IF(OR(H55="",U55="",V55=""),"Lengkapi justifikasi","Tercatat"),IF(OR(J55="",L55="",N55="",O55="",P55=""),"Lengkapi assessment",IF(AND(I55="Diterapkan",J55="Lengkap",O55="Memadai",P55="Efektif",OR(K55="",U55="",V55="")),"Lengkapi bukti/reviewer","Tercatat"))))</f>
        <v/>
      </c>
      <c r="X55" s="31">
        <f>IF(G55="Belum ditentukan","Belum dinilai",IF(G55="Tidak berlaku",IF(W55="Tercatat","Dikecualikan","Belum siap"),IF(AND(I55="Diterapkan",J55="Lengkap",O55="Memadai",P55="Efektif",W55="Tercatat"),"Siap","Belum siap")))</f>
        <v/>
      </c>
      <c r="Y55" s="31">
        <f>IF(G55="Belum ditentukan","Belum dijadwalkan",IF(N55="","Tanpa jadwal",IF(N55&lt;'Master Data'!$C$9,"Review lewat","Dalam jadwal")))</f>
        <v/>
      </c>
      <c r="Z55" s="31">
        <f>IF(X55="Belum dinilai","Belum dinilai",IF(AND(OR(X55="Siap",X55="Dikecualikan"),Y55="Dalam jadwal"),"Tidak","Ya"))</f>
        <v/>
      </c>
    </row>
    <row r="56" ht="63.95" customHeight="1">
      <c r="A56" s="1" t="n"/>
      <c r="B56" s="12" t="inlineStr">
        <is>
          <t>A.7.5</t>
        </is>
      </c>
      <c r="C56" s="32" t="inlineStr">
        <is>
          <t>Physical</t>
        </is>
      </c>
      <c r="D56" s="32" t="inlineStr">
        <is>
          <t>Perlindungan dari ancaman fisik dan lingkungan</t>
        </is>
      </c>
      <c r="E56" s="32" t="inlineStr">
        <is>
          <t>Ancaman kebakaran, banjir, suhu, dan risiko lingkungan dikendalikan</t>
        </is>
      </c>
      <c r="F56" s="32" t="inlineStr">
        <is>
          <t>Risk assessment, sensor log, inspeksi APAR, maintenance</t>
        </is>
      </c>
      <c r="G56" s="13" t="inlineStr">
        <is>
          <t>Tidak berlaku</t>
        </is>
      </c>
      <c r="H56" s="13" t="inlineStr">
        <is>
          <t>Perlindungan terhadap ancaman kebakaran, banjir, dan fluktuasi suhu ruang server dijamin oleh SLA infrastruktur CSP</t>
        </is>
      </c>
      <c r="I56" s="13" t="inlineStr">
        <is>
          <t>N/A</t>
        </is>
      </c>
      <c r="J56" s="13" t="inlineStr">
        <is>
          <t>N/A</t>
        </is>
      </c>
      <c r="K56" s="13" t="inlineStr">
        <is>
          <t>DOC-CPA-001-Provider-SOC2-Report</t>
        </is>
      </c>
      <c r="L56" s="13" t="inlineStr">
        <is>
          <t>DevOps Lead</t>
        </is>
      </c>
      <c r="M56" s="14" t="n">
        <v>46302</v>
      </c>
      <c r="N56" s="14" t="n">
        <v>46477</v>
      </c>
      <c r="O56" s="13" t="inlineStr">
        <is>
          <t>N/A</t>
        </is>
      </c>
      <c r="P56" s="13" t="inlineStr">
        <is>
          <t>N/A</t>
        </is>
      </c>
      <c r="Q56" s="13" t="inlineStr">
        <is>
          <t>Dikelola penyedia fasilitas cloud/data center berstandar ISO 27001 (Shared Responsibility Model)</t>
        </is>
      </c>
      <c r="R56" s="13" t="inlineStr">
        <is>
          <t>Verifikasi kepatuhan sertifikat SOC 2 / ISO 27001 provider cloud tahunan</t>
        </is>
      </c>
      <c r="S56" s="13" t="inlineStr">
        <is>
          <t>Rendah</t>
        </is>
      </c>
      <c r="T56" s="14" t="n">
        <v>46477</v>
      </c>
      <c r="U56" s="13" t="inlineStr">
        <is>
          <t>Dimas (Group Vision)</t>
        </is>
      </c>
      <c r="V56" s="14" t="n">
        <v>46302</v>
      </c>
      <c r="W56" s="31">
        <f>IF(G56="Belum ditentukan","Tentukan relevansi",IF(G56="Tidak berlaku",IF(OR(H56="",U56="",V56=""),"Lengkapi justifikasi","Tercatat"),IF(OR(J56="",L56="",N56="",O56="",P56=""),"Lengkapi assessment",IF(AND(I56="Diterapkan",J56="Lengkap",O56="Memadai",P56="Efektif",OR(K56="",U56="",V56="")),"Lengkapi bukti/reviewer","Tercatat"))))</f>
        <v/>
      </c>
      <c r="X56" s="31">
        <f>IF(G56="Belum ditentukan","Belum dinilai",IF(G56="Tidak berlaku",IF(W56="Tercatat","Dikecualikan","Belum siap"),IF(AND(I56="Diterapkan",J56="Lengkap",O56="Memadai",P56="Efektif",W56="Tercatat"),"Siap","Belum siap")))</f>
        <v/>
      </c>
      <c r="Y56" s="31">
        <f>IF(G56="Belum ditentukan","Belum dijadwalkan",IF(N56="","Tanpa jadwal",IF(N56&lt;'Master Data'!$C$9,"Review lewat","Dalam jadwal")))</f>
        <v/>
      </c>
      <c r="Z56" s="31">
        <f>IF(X56="Belum dinilai","Belum dinilai",IF(AND(OR(X56="Siap",X56="Dikecualikan"),Y56="Dalam jadwal"),"Tidak","Ya"))</f>
        <v/>
      </c>
    </row>
    <row r="57" ht="63.95" customHeight="1">
      <c r="A57" s="1" t="n"/>
      <c r="B57" s="12" t="inlineStr">
        <is>
          <t>A.7.6</t>
        </is>
      </c>
      <c r="C57" s="32" t="inlineStr">
        <is>
          <t>Physical</t>
        </is>
      </c>
      <c r="D57" s="32" t="inlineStr">
        <is>
          <t>Bekerja di area aman</t>
        </is>
      </c>
      <c r="E57" s="32" t="inlineStr">
        <is>
          <t>Aturan aktivitas di area aman ditetapkan dan dipantau</t>
        </is>
      </c>
      <c r="F57" s="32" t="inlineStr">
        <is>
          <t>Secure area procedure, access list, visitor escort record</t>
        </is>
      </c>
      <c r="G57" s="13" t="inlineStr">
        <is>
          <t>Berlaku</t>
        </is>
      </c>
      <c r="H57" s="13" t="inlineStr">
        <is>
          <t>Kontrol A.7.6 relevan dan wajib diterapkan pada platform operasional auditsphere.app.</t>
        </is>
      </c>
      <c r="I57" s="13" t="inlineStr">
        <is>
          <t>Diterapkan</t>
        </is>
      </c>
      <c r="J57" s="13" t="inlineStr">
        <is>
          <t>Lengkap</t>
        </is>
      </c>
      <c r="K57" s="13" t="inlineStr">
        <is>
          <t>DOC-Office-Security-Procedure</t>
        </is>
      </c>
      <c r="L57" s="13" t="inlineStr">
        <is>
          <t>Operations Lead</t>
        </is>
      </c>
      <c r="M57" s="14" t="n">
        <v>46302</v>
      </c>
      <c r="N57" s="14" t="n">
        <v>46477</v>
      </c>
      <c r="O57" s="13" t="inlineStr">
        <is>
          <t>Memadai</t>
        </is>
      </c>
      <c r="P57" s="13" t="inlineStr">
        <is>
          <t>Efektif</t>
        </is>
      </c>
      <c r="Q57" s="13" t="inlineStr">
        <is>
          <t>Area kerja tim pengembang dan administrasi sistem diamankan dengan otorisasi akses fisik.</t>
        </is>
      </c>
      <c r="R57" s="13" t="inlineStr">
        <is>
          <t>Pertahankan efektivitas kontrol dan lakukan review operasional berkala</t>
        </is>
      </c>
      <c r="S57" s="13" t="inlineStr">
        <is>
          <t>Sedang</t>
        </is>
      </c>
      <c r="T57" s="14" t="n">
        <v>46477</v>
      </c>
      <c r="U57" s="13" t="inlineStr">
        <is>
          <t>Dimas (Group Vision)</t>
        </is>
      </c>
      <c r="V57" s="14" t="n">
        <v>46302</v>
      </c>
      <c r="W57" s="31">
        <f>IF(G57="Belum ditentukan","Tentukan relevansi",IF(G57="Tidak berlaku",IF(OR(H57="",U57="",V57=""),"Lengkapi justifikasi","Tercatat"),IF(OR(J57="",L57="",N57="",O57="",P57=""),"Lengkapi assessment",IF(AND(I57="Diterapkan",J57="Lengkap",O57="Memadai",P57="Efektif",OR(K57="",U57="",V57="")),"Lengkapi bukti/reviewer","Tercatat"))))</f>
        <v/>
      </c>
      <c r="X57" s="31">
        <f>IF(G57="Belum ditentukan","Belum dinilai",IF(G57="Tidak berlaku",IF(W57="Tercatat","Dikecualikan","Belum siap"),IF(AND(I57="Diterapkan",J57="Lengkap",O57="Memadai",P57="Efektif",W57="Tercatat"),"Siap","Belum siap")))</f>
        <v/>
      </c>
      <c r="Y57" s="31">
        <f>IF(G57="Belum ditentukan","Belum dijadwalkan",IF(N57="","Tanpa jadwal",IF(N57&lt;'Master Data'!$C$9,"Review lewat","Dalam jadwal")))</f>
        <v/>
      </c>
      <c r="Z57" s="31">
        <f>IF(X57="Belum dinilai","Belum dinilai",IF(AND(OR(X57="Siap",X57="Dikecualikan"),Y57="Dalam jadwal"),"Tidak","Ya"))</f>
        <v/>
      </c>
    </row>
    <row r="58" ht="63.95" customHeight="1">
      <c r="A58" s="1" t="n"/>
      <c r="B58" s="12" t="inlineStr">
        <is>
          <t>A.7.7</t>
        </is>
      </c>
      <c r="C58" s="32" t="inlineStr">
        <is>
          <t>Physical</t>
        </is>
      </c>
      <c r="D58" s="32" t="inlineStr">
        <is>
          <t>Meja bersih dan layar bersih</t>
        </is>
      </c>
      <c r="E58" s="32" t="inlineStr">
        <is>
          <t>Informasi dan perangkat tidak ditinggalkan tanpa perlindungan</t>
        </is>
      </c>
      <c r="F58" s="32" t="inlineStr">
        <is>
          <t>Policy, spot-check record, screen-lock config, awareness</t>
        </is>
      </c>
      <c r="G58" s="13" t="inlineStr">
        <is>
          <t>Berlaku</t>
        </is>
      </c>
      <c r="H58" s="13" t="inlineStr">
        <is>
          <t>Kontrol A.7.7 relevan dan wajib diterapkan pada platform operasional auditsphere.app.</t>
        </is>
      </c>
      <c r="I58" s="13" t="inlineStr">
        <is>
          <t>Diterapkan</t>
        </is>
      </c>
      <c r="J58" s="13" t="inlineStr">
        <is>
          <t>Lengkap</t>
        </is>
      </c>
      <c r="K58" s="13" t="inlineStr">
        <is>
          <t>SRC-frontend/composables/useAuth.ts</t>
        </is>
      </c>
      <c r="L58" s="13" t="inlineStr">
        <is>
          <t>Lead Developer</t>
        </is>
      </c>
      <c r="M58" s="14" t="n">
        <v>46302</v>
      </c>
      <c r="N58" s="14" t="n">
        <v>46477</v>
      </c>
      <c r="O58" s="13" t="inlineStr">
        <is>
          <t>Memadai</t>
        </is>
      </c>
      <c r="P58" s="13" t="inlineStr">
        <is>
          <t>Efektif</t>
        </is>
      </c>
      <c r="Q58" s="13" t="inlineStr">
        <is>
          <t>Session idle timeout 15 menit otomatis aktif di frontend dan kebijakan clean desk diterapkan.</t>
        </is>
      </c>
      <c r="R58" s="13" t="inlineStr">
        <is>
          <t>Pertahankan efektivitas kontrol dan lakukan review operasional berkala</t>
        </is>
      </c>
      <c r="S58" s="13" t="inlineStr">
        <is>
          <t>Sedang</t>
        </is>
      </c>
      <c r="T58" s="14" t="n">
        <v>46477</v>
      </c>
      <c r="U58" s="13" t="inlineStr">
        <is>
          <t>Dimas (Group Vision)</t>
        </is>
      </c>
      <c r="V58" s="14" t="n">
        <v>46302</v>
      </c>
      <c r="W58" s="31">
        <f>IF(G58="Belum ditentukan","Tentukan relevansi",IF(G58="Tidak berlaku",IF(OR(H58="",U58="",V58=""),"Lengkapi justifikasi","Tercatat"),IF(OR(J58="",L58="",N58="",O58="",P58=""),"Lengkapi assessment",IF(AND(I58="Diterapkan",J58="Lengkap",O58="Memadai",P58="Efektif",OR(K58="",U58="",V58="")),"Lengkapi bukti/reviewer","Tercatat"))))</f>
        <v/>
      </c>
      <c r="X58" s="31">
        <f>IF(G58="Belum ditentukan","Belum dinilai",IF(G58="Tidak berlaku",IF(W58="Tercatat","Dikecualikan","Belum siap"),IF(AND(I58="Diterapkan",J58="Lengkap",O58="Memadai",P58="Efektif",W58="Tercatat"),"Siap","Belum siap")))</f>
        <v/>
      </c>
      <c r="Y58" s="31">
        <f>IF(G58="Belum ditentukan","Belum dijadwalkan",IF(N58="","Tanpa jadwal",IF(N58&lt;'Master Data'!$C$9,"Review lewat","Dalam jadwal")))</f>
        <v/>
      </c>
      <c r="Z58" s="31">
        <f>IF(X58="Belum dinilai","Belum dinilai",IF(AND(OR(X58="Siap",X58="Dikecualikan"),Y58="Dalam jadwal"),"Tidak","Ya"))</f>
        <v/>
      </c>
    </row>
    <row r="59" ht="63.95" customHeight="1">
      <c r="A59" s="1" t="n"/>
      <c r="B59" s="12" t="inlineStr">
        <is>
          <t>A.7.8</t>
        </is>
      </c>
      <c r="C59" s="32" t="inlineStr">
        <is>
          <t>Physical</t>
        </is>
      </c>
      <c r="D59" s="32" t="inlineStr">
        <is>
          <t>Penempatan dan perlindungan peralatan</t>
        </is>
      </c>
      <c r="E59" s="32" t="inlineStr">
        <is>
          <t>Peralatan ditempatkan untuk mengurangi gangguan dan akses tidak sah</t>
        </is>
      </c>
      <c r="F59" s="32" t="inlineStr">
        <is>
          <t>Layout, rack lock, environmental control, inspection record</t>
        </is>
      </c>
      <c r="G59" s="13" t="inlineStr">
        <is>
          <t>Berlaku</t>
        </is>
      </c>
      <c r="H59" s="13" t="inlineStr">
        <is>
          <t>Kontrol A.7.8 relevan dan wajib diterapkan pada platform operasional auditsphere.app.</t>
        </is>
      </c>
      <c r="I59" s="13" t="inlineStr">
        <is>
          <t>Diterapkan</t>
        </is>
      </c>
      <c r="J59" s="13" t="inlineStr">
        <is>
          <t>Lengkap</t>
        </is>
      </c>
      <c r="K59" s="13" t="inlineStr">
        <is>
          <t>DOC-CPA-001-DataCenterTier3</t>
        </is>
      </c>
      <c r="L59" s="13" t="inlineStr">
        <is>
          <t>DevOps Lead</t>
        </is>
      </c>
      <c r="M59" s="14" t="n">
        <v>46302</v>
      </c>
      <c r="N59" s="14" t="n">
        <v>46477</v>
      </c>
      <c r="O59" s="13" t="inlineStr">
        <is>
          <t>Memadai</t>
        </is>
      </c>
      <c r="P59" s="13" t="inlineStr">
        <is>
          <t>Efektif</t>
        </is>
      </c>
      <c r="Q59" s="13" t="inlineStr">
        <is>
          <t>Perangkat komputasi ditempatkan pada infrastruktur data center Tier-3 berdaya proteksi tinggi.</t>
        </is>
      </c>
      <c r="R59" s="13" t="inlineStr">
        <is>
          <t>Pertahankan efektivitas kontrol dan lakukan review operasional berkala</t>
        </is>
      </c>
      <c r="S59" s="13" t="inlineStr">
        <is>
          <t>Sedang</t>
        </is>
      </c>
      <c r="T59" s="14" t="n">
        <v>46477</v>
      </c>
      <c r="U59" s="13" t="inlineStr">
        <is>
          <t>Dimas (Group Vision)</t>
        </is>
      </c>
      <c r="V59" s="14" t="n">
        <v>46302</v>
      </c>
      <c r="W59" s="31">
        <f>IF(G59="Belum ditentukan","Tentukan relevansi",IF(G59="Tidak berlaku",IF(OR(H59="",U59="",V59=""),"Lengkapi justifikasi","Tercatat"),IF(OR(J59="",L59="",N59="",O59="",P59=""),"Lengkapi assessment",IF(AND(I59="Diterapkan",J59="Lengkap",O59="Memadai",P59="Efektif",OR(K59="",U59="",V59="")),"Lengkapi bukti/reviewer","Tercatat"))))</f>
        <v/>
      </c>
      <c r="X59" s="31">
        <f>IF(G59="Belum ditentukan","Belum dinilai",IF(G59="Tidak berlaku",IF(W59="Tercatat","Dikecualikan","Belum siap"),IF(AND(I59="Diterapkan",J59="Lengkap",O59="Memadai",P59="Efektif",W59="Tercatat"),"Siap","Belum siap")))</f>
        <v/>
      </c>
      <c r="Y59" s="31">
        <f>IF(G59="Belum ditentukan","Belum dijadwalkan",IF(N59="","Tanpa jadwal",IF(N59&lt;'Master Data'!$C$9,"Review lewat","Dalam jadwal")))</f>
        <v/>
      </c>
      <c r="Z59" s="31">
        <f>IF(X59="Belum dinilai","Belum dinilai",IF(AND(OR(X59="Siap",X59="Dikecualikan"),Y59="Dalam jadwal"),"Tidak","Ya"))</f>
        <v/>
      </c>
    </row>
    <row r="60" ht="63.95" customHeight="1">
      <c r="A60" s="1" t="n"/>
      <c r="B60" s="12" t="inlineStr">
        <is>
          <t>A.7.9</t>
        </is>
      </c>
      <c r="C60" s="32" t="inlineStr">
        <is>
          <t>Physical</t>
        </is>
      </c>
      <c r="D60" s="32" t="inlineStr">
        <is>
          <t>Keamanan aset di luar lokasi</t>
        </is>
      </c>
      <c r="E60" s="32" t="inlineStr">
        <is>
          <t>Aset yang dibawa keluar tetap tercatat dan terlindungi</t>
        </is>
      </c>
      <c r="F60" s="32" t="inlineStr">
        <is>
          <t>Asset checkout, encryption status, travel policy, incident log</t>
        </is>
      </c>
      <c r="G60" s="13" t="inlineStr">
        <is>
          <t>Berlaku</t>
        </is>
      </c>
      <c r="H60" s="13" t="inlineStr">
        <is>
          <t>Kontrol A.7.9 relevan dan wajib diterapkan pada platform operasional auditsphere.app.</t>
        </is>
      </c>
      <c r="I60" s="13" t="inlineStr">
        <is>
          <t>Diterapkan</t>
        </is>
      </c>
      <c r="J60" s="13" t="inlineStr">
        <is>
          <t>Lengkap</t>
        </is>
      </c>
      <c r="K60" s="13" t="inlineStr">
        <is>
          <t>DOC-Device-Hardening-Standard</t>
        </is>
      </c>
      <c r="L60" s="13" t="inlineStr">
        <is>
          <t>DevOps Lead</t>
        </is>
      </c>
      <c r="M60" s="14" t="n">
        <v>46302</v>
      </c>
      <c r="N60" s="14" t="n">
        <v>46477</v>
      </c>
      <c r="O60" s="13" t="inlineStr">
        <is>
          <t>Memadai</t>
        </is>
      </c>
      <c r="P60" s="13" t="inlineStr">
        <is>
          <t>Efektif</t>
        </is>
      </c>
      <c r="Q60" s="13" t="inlineStr">
        <is>
          <t>Laptop kerja yang dibawa keluar kantor dilindungi enkripsi volume (BitLocker/FileVault).</t>
        </is>
      </c>
      <c r="R60" s="13" t="inlineStr">
        <is>
          <t>Pertahankan efektivitas kontrol dan lakukan review operasional berkala</t>
        </is>
      </c>
      <c r="S60" s="13" t="inlineStr">
        <is>
          <t>Sedang</t>
        </is>
      </c>
      <c r="T60" s="14" t="n">
        <v>46477</v>
      </c>
      <c r="U60" s="13" t="inlineStr">
        <is>
          <t>Dimas (Group Vision)</t>
        </is>
      </c>
      <c r="V60" s="14" t="n">
        <v>46302</v>
      </c>
      <c r="W60" s="31">
        <f>IF(G60="Belum ditentukan","Tentukan relevansi",IF(G60="Tidak berlaku",IF(OR(H60="",U60="",V60=""),"Lengkapi justifikasi","Tercatat"),IF(OR(J60="",L60="",N60="",O60="",P60=""),"Lengkapi assessment",IF(AND(I60="Diterapkan",J60="Lengkap",O60="Memadai",P60="Efektif",OR(K60="",U60="",V60="")),"Lengkapi bukti/reviewer","Tercatat"))))</f>
        <v/>
      </c>
      <c r="X60" s="31">
        <f>IF(G60="Belum ditentukan","Belum dinilai",IF(G60="Tidak berlaku",IF(W60="Tercatat","Dikecualikan","Belum siap"),IF(AND(I60="Diterapkan",J60="Lengkap",O60="Memadai",P60="Efektif",W60="Tercatat"),"Siap","Belum siap")))</f>
        <v/>
      </c>
      <c r="Y60" s="31">
        <f>IF(G60="Belum ditentukan","Belum dijadwalkan",IF(N60="","Tanpa jadwal",IF(N60&lt;'Master Data'!$C$9,"Review lewat","Dalam jadwal")))</f>
        <v/>
      </c>
      <c r="Z60" s="31">
        <f>IF(X60="Belum dinilai","Belum dinilai",IF(AND(OR(X60="Siap",X60="Dikecualikan"),Y60="Dalam jadwal"),"Tidak","Ya"))</f>
        <v/>
      </c>
    </row>
    <row r="61" ht="63.95" customHeight="1">
      <c r="A61" s="1" t="n"/>
      <c r="B61" s="12" t="inlineStr">
        <is>
          <t>A.7.10</t>
        </is>
      </c>
      <c r="C61" s="32" t="inlineStr">
        <is>
          <t>Physical</t>
        </is>
      </c>
      <c r="D61" s="32" t="inlineStr">
        <is>
          <t>Media penyimpanan</t>
        </is>
      </c>
      <c r="E61" s="32" t="inlineStr">
        <is>
          <t>Media dikelola sepanjang siklus hidup sesuai klasifikasi</t>
        </is>
      </c>
      <c r="F61" s="32" t="inlineStr">
        <is>
          <t>Media register, encryption, transfer record, disposal certificate</t>
        </is>
      </c>
      <c r="G61" s="13" t="inlineStr">
        <is>
          <t>Berlaku</t>
        </is>
      </c>
      <c r="H61" s="13" t="inlineStr">
        <is>
          <t>Kontrol A.7.10 relevan dan wajib diterapkan pada platform operasional auditsphere.app.</t>
        </is>
      </c>
      <c r="I61" s="13" t="inlineStr">
        <is>
          <t>Diterapkan</t>
        </is>
      </c>
      <c r="J61" s="13" t="inlineStr">
        <is>
          <t>Lengkap</t>
        </is>
      </c>
      <c r="K61" s="13" t="inlineStr">
        <is>
          <t>DOC-CSP-001-MediaPolicy</t>
        </is>
      </c>
      <c r="L61" s="13" t="inlineStr">
        <is>
          <t>Security Officer</t>
        </is>
      </c>
      <c r="M61" s="14" t="n">
        <v>46302</v>
      </c>
      <c r="N61" s="14" t="n">
        <v>46477</v>
      </c>
      <c r="O61" s="13" t="inlineStr">
        <is>
          <t>Memadai</t>
        </is>
      </c>
      <c r="P61" s="13" t="inlineStr">
        <is>
          <t>Efektif</t>
        </is>
      </c>
      <c r="Q61" s="13" t="inlineStr">
        <is>
          <t>Kebijakan pelarangan media penyimpanan eksternal tanpa enkripsi ditegakkan pada operasional.</t>
        </is>
      </c>
      <c r="R61" s="13" t="inlineStr">
        <is>
          <t>Pertahankan efektivitas kontrol dan lakukan review operasional berkala</t>
        </is>
      </c>
      <c r="S61" s="13" t="inlineStr">
        <is>
          <t>Sedang</t>
        </is>
      </c>
      <c r="T61" s="14" t="n">
        <v>46477</v>
      </c>
      <c r="U61" s="13" t="inlineStr">
        <is>
          <t>Dimas (Group Vision)</t>
        </is>
      </c>
      <c r="V61" s="14" t="n">
        <v>46302</v>
      </c>
      <c r="W61" s="31">
        <f>IF(G61="Belum ditentukan","Tentukan relevansi",IF(G61="Tidak berlaku",IF(OR(H61="",U61="",V61=""),"Lengkapi justifikasi","Tercatat"),IF(OR(J61="",L61="",N61="",O61="",P61=""),"Lengkapi assessment",IF(AND(I61="Diterapkan",J61="Lengkap",O61="Memadai",P61="Efektif",OR(K61="",U61="",V61="")),"Lengkapi bukti/reviewer","Tercatat"))))</f>
        <v/>
      </c>
      <c r="X61" s="31">
        <f>IF(G61="Belum ditentukan","Belum dinilai",IF(G61="Tidak berlaku",IF(W61="Tercatat","Dikecualikan","Belum siap"),IF(AND(I61="Diterapkan",J61="Lengkap",O61="Memadai",P61="Efektif",W61="Tercatat"),"Siap","Belum siap")))</f>
        <v/>
      </c>
      <c r="Y61" s="31">
        <f>IF(G61="Belum ditentukan","Belum dijadwalkan",IF(N61="","Tanpa jadwal",IF(N61&lt;'Master Data'!$C$9,"Review lewat","Dalam jadwal")))</f>
        <v/>
      </c>
      <c r="Z61" s="31">
        <f>IF(X61="Belum dinilai","Belum dinilai",IF(AND(OR(X61="Siap",X61="Dikecualikan"),Y61="Dalam jadwal"),"Tidak","Ya"))</f>
        <v/>
      </c>
    </row>
    <row r="62" ht="63.95" customHeight="1">
      <c r="A62" s="1" t="n"/>
      <c r="B62" s="12" t="inlineStr">
        <is>
          <t>A.7.11</t>
        </is>
      </c>
      <c r="C62" s="32" t="inlineStr">
        <is>
          <t>Physical</t>
        </is>
      </c>
      <c r="D62" s="32" t="inlineStr">
        <is>
          <t>Utilitas pendukung</t>
        </is>
      </c>
      <c r="E62" s="32" t="inlineStr">
        <is>
          <t>Listrik, pendingin, dan utilitas pendukung dipantau dan dipelihara</t>
        </is>
      </c>
      <c r="F62" s="32" t="inlineStr">
        <is>
          <t>UPS/genset test, maintenance log, capacity report, alarm</t>
        </is>
      </c>
      <c r="G62" s="13" t="inlineStr">
        <is>
          <t>Tidak berlaku</t>
        </is>
      </c>
      <c r="H62" s="13" t="inlineStr">
        <is>
          <t>Utilitas pendukung (kelistrikan genset redundant dan pendingin HVAC data center) dikelola oleh penyedia fasilitas cloud</t>
        </is>
      </c>
      <c r="I62" s="13" t="inlineStr">
        <is>
          <t>N/A</t>
        </is>
      </c>
      <c r="J62" s="13" t="inlineStr">
        <is>
          <t>N/A</t>
        </is>
      </c>
      <c r="K62" s="13" t="inlineStr">
        <is>
          <t>DOC-CPA-001-Provider-SOC2-Report</t>
        </is>
      </c>
      <c r="L62" s="13" t="inlineStr">
        <is>
          <t>DevOps Lead</t>
        </is>
      </c>
      <c r="M62" s="14" t="n">
        <v>46302</v>
      </c>
      <c r="N62" s="14" t="n">
        <v>46477</v>
      </c>
      <c r="O62" s="13" t="inlineStr">
        <is>
          <t>N/A</t>
        </is>
      </c>
      <c r="P62" s="13" t="inlineStr">
        <is>
          <t>N/A</t>
        </is>
      </c>
      <c r="Q62" s="13" t="inlineStr">
        <is>
          <t>Dikelola penyedia fasilitas cloud/data center berstandar ISO 27001 (Shared Responsibility Model)</t>
        </is>
      </c>
      <c r="R62" s="13" t="inlineStr">
        <is>
          <t>Verifikasi kepatuhan sertifikat SOC 2 / ISO 27001 provider cloud tahunan</t>
        </is>
      </c>
      <c r="S62" s="13" t="inlineStr">
        <is>
          <t>Rendah</t>
        </is>
      </c>
      <c r="T62" s="14" t="n">
        <v>46477</v>
      </c>
      <c r="U62" s="13" t="inlineStr">
        <is>
          <t>Dimas (Group Vision)</t>
        </is>
      </c>
      <c r="V62" s="14" t="n">
        <v>46302</v>
      </c>
      <c r="W62" s="31">
        <f>IF(G62="Belum ditentukan","Tentukan relevansi",IF(G62="Tidak berlaku",IF(OR(H62="",U62="",V62=""),"Lengkapi justifikasi","Tercatat"),IF(OR(J62="",L62="",N62="",O62="",P62=""),"Lengkapi assessment",IF(AND(I62="Diterapkan",J62="Lengkap",O62="Memadai",P62="Efektif",OR(K62="",U62="",V62="")),"Lengkapi bukti/reviewer","Tercatat"))))</f>
        <v/>
      </c>
      <c r="X62" s="31">
        <f>IF(G62="Belum ditentukan","Belum dinilai",IF(G62="Tidak berlaku",IF(W62="Tercatat","Dikecualikan","Belum siap"),IF(AND(I62="Diterapkan",J62="Lengkap",O62="Memadai",P62="Efektif",W62="Tercatat"),"Siap","Belum siap")))</f>
        <v/>
      </c>
      <c r="Y62" s="31">
        <f>IF(G62="Belum ditentukan","Belum dijadwalkan",IF(N62="","Tanpa jadwal",IF(N62&lt;'Master Data'!$C$9,"Review lewat","Dalam jadwal")))</f>
        <v/>
      </c>
      <c r="Z62" s="31">
        <f>IF(X62="Belum dinilai","Belum dinilai",IF(AND(OR(X62="Siap",X62="Dikecualikan"),Y62="Dalam jadwal"),"Tidak","Ya"))</f>
        <v/>
      </c>
    </row>
    <row r="63" ht="63.95" customHeight="1">
      <c r="A63" s="1" t="n"/>
      <c r="B63" s="12" t="inlineStr">
        <is>
          <t>A.7.12</t>
        </is>
      </c>
      <c r="C63" s="32" t="inlineStr">
        <is>
          <t>Physical</t>
        </is>
      </c>
      <c r="D63" s="32" t="inlineStr">
        <is>
          <t>Keamanan kabel</t>
        </is>
      </c>
      <c r="E63" s="32" t="inlineStr">
        <is>
          <t>Kabel daya dan data dilindungi dari gangguan atau penyadapan</t>
        </is>
      </c>
      <c r="F63" s="32" t="inlineStr">
        <is>
          <t>Diagram kabel, tray/duct inspection, labeling, access control</t>
        </is>
      </c>
      <c r="G63" s="13" t="inlineStr">
        <is>
          <t>Tidak berlaku</t>
        </is>
      </c>
      <c r="H63" s="13" t="inlineStr">
        <is>
          <t>Keamanan pengkabelan transmisi fisik data center dikelola langsung oleh tim infrastruktur provider cloud</t>
        </is>
      </c>
      <c r="I63" s="13" t="inlineStr">
        <is>
          <t>N/A</t>
        </is>
      </c>
      <c r="J63" s="13" t="inlineStr">
        <is>
          <t>N/A</t>
        </is>
      </c>
      <c r="K63" s="13" t="inlineStr">
        <is>
          <t>DOC-CPA-001-Provider-SOC2-Report</t>
        </is>
      </c>
      <c r="L63" s="13" t="inlineStr">
        <is>
          <t>DevOps Lead</t>
        </is>
      </c>
      <c r="M63" s="14" t="n">
        <v>46302</v>
      </c>
      <c r="N63" s="14" t="n">
        <v>46477</v>
      </c>
      <c r="O63" s="13" t="inlineStr">
        <is>
          <t>N/A</t>
        </is>
      </c>
      <c r="P63" s="13" t="inlineStr">
        <is>
          <t>N/A</t>
        </is>
      </c>
      <c r="Q63" s="13" t="inlineStr">
        <is>
          <t>Dikelola penyedia fasilitas cloud/data center berstandar ISO 27001 (Shared Responsibility Model)</t>
        </is>
      </c>
      <c r="R63" s="13" t="inlineStr">
        <is>
          <t>Verifikasi kepatuhan sertifikat SOC 2 / ISO 27001 provider cloud tahunan</t>
        </is>
      </c>
      <c r="S63" s="13" t="inlineStr">
        <is>
          <t>Rendah</t>
        </is>
      </c>
      <c r="T63" s="14" t="n">
        <v>46477</v>
      </c>
      <c r="U63" s="13" t="inlineStr">
        <is>
          <t>Dimas (Group Vision)</t>
        </is>
      </c>
      <c r="V63" s="14" t="n">
        <v>46302</v>
      </c>
      <c r="W63" s="31">
        <f>IF(G63="Belum ditentukan","Tentukan relevansi",IF(G63="Tidak berlaku",IF(OR(H63="",U63="",V63=""),"Lengkapi justifikasi","Tercatat"),IF(OR(J63="",L63="",N63="",O63="",P63=""),"Lengkapi assessment",IF(AND(I63="Diterapkan",J63="Lengkap",O63="Memadai",P63="Efektif",OR(K63="",U63="",V63="")),"Lengkapi bukti/reviewer","Tercatat"))))</f>
        <v/>
      </c>
      <c r="X63" s="31">
        <f>IF(G63="Belum ditentukan","Belum dinilai",IF(G63="Tidak berlaku",IF(W63="Tercatat","Dikecualikan","Belum siap"),IF(AND(I63="Diterapkan",J63="Lengkap",O63="Memadai",P63="Efektif",W63="Tercatat"),"Siap","Belum siap")))</f>
        <v/>
      </c>
      <c r="Y63" s="31">
        <f>IF(G63="Belum ditentukan","Belum dijadwalkan",IF(N63="","Tanpa jadwal",IF(N63&lt;'Master Data'!$C$9,"Review lewat","Dalam jadwal")))</f>
        <v/>
      </c>
      <c r="Z63" s="31">
        <f>IF(X63="Belum dinilai","Belum dinilai",IF(AND(OR(X63="Siap",X63="Dikecualikan"),Y63="Dalam jadwal"),"Tidak","Ya"))</f>
        <v/>
      </c>
    </row>
    <row r="64" ht="63.95" customHeight="1">
      <c r="A64" s="1" t="n"/>
      <c r="B64" s="12" t="inlineStr">
        <is>
          <t>A.7.13</t>
        </is>
      </c>
      <c r="C64" s="32" t="inlineStr">
        <is>
          <t>Physical</t>
        </is>
      </c>
      <c r="D64" s="32" t="inlineStr">
        <is>
          <t>Pemeliharaan peralatan</t>
        </is>
      </c>
      <c r="E64" s="32" t="inlineStr">
        <is>
          <t>Maintenance dilakukan oleh pihak berwenang dan tercatat</t>
        </is>
      </c>
      <c r="F64" s="32" t="inlineStr">
        <is>
          <t>Maintenance schedule, work order, vendor record, approval</t>
        </is>
      </c>
      <c r="G64" s="13" t="inlineStr">
        <is>
          <t>Berlaku</t>
        </is>
      </c>
      <c r="H64" s="13" t="inlineStr">
        <is>
          <t>Kontrol A.7.13 relevan dan wajib diterapkan pada platform operasional auditsphere.app.</t>
        </is>
      </c>
      <c r="I64" s="13" t="inlineStr">
        <is>
          <t>Diterapkan</t>
        </is>
      </c>
      <c r="J64" s="13" t="inlineStr">
        <is>
          <t>Lengkap</t>
        </is>
      </c>
      <c r="K64" s="13" t="inlineStr">
        <is>
          <t>DOC-BACKEND_RUN_AND_DEPLOY.md</t>
        </is>
      </c>
      <c r="L64" s="13" t="inlineStr">
        <is>
          <t>DevOps Lead</t>
        </is>
      </c>
      <c r="M64" s="14" t="n">
        <v>46302</v>
      </c>
      <c r="N64" s="14" t="n">
        <v>46477</v>
      </c>
      <c r="O64" s="13" t="inlineStr">
        <is>
          <t>Memadai</t>
        </is>
      </c>
      <c r="P64" s="13" t="inlineStr">
        <is>
          <t>Efektif</t>
        </is>
      </c>
      <c r="Q64" s="13" t="inlineStr">
        <is>
          <t>Pemeliharaan sistem produksi dicatat dalam changelog dan dilaksanakan oleh personel terotorisasi.</t>
        </is>
      </c>
      <c r="R64" s="13" t="inlineStr">
        <is>
          <t>Pertahankan efektivitas kontrol dan lakukan review operasional berkala</t>
        </is>
      </c>
      <c r="S64" s="13" t="inlineStr">
        <is>
          <t>Sedang</t>
        </is>
      </c>
      <c r="T64" s="14" t="n">
        <v>46477</v>
      </c>
      <c r="U64" s="13" t="inlineStr">
        <is>
          <t>Dimas (Group Vision)</t>
        </is>
      </c>
      <c r="V64" s="14" t="n">
        <v>46302</v>
      </c>
      <c r="W64" s="31">
        <f>IF(G64="Belum ditentukan","Tentukan relevansi",IF(G64="Tidak berlaku",IF(OR(H64="",U64="",V64=""),"Lengkapi justifikasi","Tercatat"),IF(OR(J64="",L64="",N64="",O64="",P64=""),"Lengkapi assessment",IF(AND(I64="Diterapkan",J64="Lengkap",O64="Memadai",P64="Efektif",OR(K64="",U64="",V64="")),"Lengkapi bukti/reviewer","Tercatat"))))</f>
        <v/>
      </c>
      <c r="X64" s="31">
        <f>IF(G64="Belum ditentukan","Belum dinilai",IF(G64="Tidak berlaku",IF(W64="Tercatat","Dikecualikan","Belum siap"),IF(AND(I64="Diterapkan",J64="Lengkap",O64="Memadai",P64="Efektif",W64="Tercatat"),"Siap","Belum siap")))</f>
        <v/>
      </c>
      <c r="Y64" s="31">
        <f>IF(G64="Belum ditentukan","Belum dijadwalkan",IF(N64="","Tanpa jadwal",IF(N64&lt;'Master Data'!$C$9,"Review lewat","Dalam jadwal")))</f>
        <v/>
      </c>
      <c r="Z64" s="31">
        <f>IF(X64="Belum dinilai","Belum dinilai",IF(AND(OR(X64="Siap",X64="Dikecualikan"),Y64="Dalam jadwal"),"Tidak","Ya"))</f>
        <v/>
      </c>
    </row>
    <row r="65" ht="63.95" customHeight="1">
      <c r="A65" s="1" t="n"/>
      <c r="B65" s="12" t="inlineStr">
        <is>
          <t>A.7.14</t>
        </is>
      </c>
      <c r="C65" s="32" t="inlineStr">
        <is>
          <t>Physical</t>
        </is>
      </c>
      <c r="D65" s="32" t="inlineStr">
        <is>
          <t>Pembuangan atau penggunaan ulang peralatan</t>
        </is>
      </c>
      <c r="E65" s="32" t="inlineStr">
        <is>
          <t>Data dihapus aman sebelum aset dibuang atau digunakan ulang</t>
        </is>
      </c>
      <c r="F65" s="32" t="inlineStr">
        <is>
          <t>Sanitization log, disposal certificate, asset update, approval</t>
        </is>
      </c>
      <c r="G65" s="13" t="inlineStr">
        <is>
          <t>Berlaku</t>
        </is>
      </c>
      <c r="H65" s="13" t="inlineStr">
        <is>
          <t>Kontrol A.7.14 relevan dan wajib diterapkan pada platform operasional auditsphere.app.</t>
        </is>
      </c>
      <c r="I65" s="13" t="inlineStr">
        <is>
          <t>Diterapkan</t>
        </is>
      </c>
      <c r="J65" s="13" t="inlineStr">
        <is>
          <t>Lengkap</t>
        </is>
      </c>
      <c r="K65" s="13" t="inlineStr">
        <is>
          <t>DOC-CES-001-Sec5</t>
        </is>
      </c>
      <c r="L65" s="13" t="inlineStr">
        <is>
          <t>DevOps Lead</t>
        </is>
      </c>
      <c r="M65" s="14" t="n">
        <v>46302</v>
      </c>
      <c r="N65" s="14" t="n">
        <v>46477</v>
      </c>
      <c r="O65" s="13" t="inlineStr">
        <is>
          <t>Memadai</t>
        </is>
      </c>
      <c r="P65" s="13" t="inlineStr">
        <is>
          <t>Efektif</t>
        </is>
      </c>
      <c r="Q65" s="13" t="inlineStr">
        <is>
          <t>Prosedur sanitasi data aman (cryptographic wipe) diterapkan saat penghapusan disk/volume cadangan.</t>
        </is>
      </c>
      <c r="R65" s="13" t="inlineStr">
        <is>
          <t>Pertahankan efektivitas kontrol dan lakukan review operasional berkala</t>
        </is>
      </c>
      <c r="S65" s="13" t="inlineStr">
        <is>
          <t>Sedang</t>
        </is>
      </c>
      <c r="T65" s="14" t="n">
        <v>46477</v>
      </c>
      <c r="U65" s="13" t="inlineStr">
        <is>
          <t>Dimas (Group Vision)</t>
        </is>
      </c>
      <c r="V65" s="14" t="n">
        <v>46302</v>
      </c>
      <c r="W65" s="31">
        <f>IF(G65="Belum ditentukan","Tentukan relevansi",IF(G65="Tidak berlaku",IF(OR(H65="",U65="",V65=""),"Lengkapi justifikasi","Tercatat"),IF(OR(J65="",L65="",N65="",O65="",P65=""),"Lengkapi assessment",IF(AND(I65="Diterapkan",J65="Lengkap",O65="Memadai",P65="Efektif",OR(K65="",U65="",V65="")),"Lengkapi bukti/reviewer","Tercatat"))))</f>
        <v/>
      </c>
      <c r="X65" s="31">
        <f>IF(G65="Belum ditentukan","Belum dinilai",IF(G65="Tidak berlaku",IF(W65="Tercatat","Dikecualikan","Belum siap"),IF(AND(I65="Diterapkan",J65="Lengkap",O65="Memadai",P65="Efektif",W65="Tercatat"),"Siap","Belum siap")))</f>
        <v/>
      </c>
      <c r="Y65" s="31">
        <f>IF(G65="Belum ditentukan","Belum dijadwalkan",IF(N65="","Tanpa jadwal",IF(N65&lt;'Master Data'!$C$9,"Review lewat","Dalam jadwal")))</f>
        <v/>
      </c>
      <c r="Z65" s="31">
        <f>IF(X65="Belum dinilai","Belum dinilai",IF(AND(OR(X65="Siap",X65="Dikecualikan"),Y65="Dalam jadwal"),"Tidak","Ya"))</f>
        <v/>
      </c>
    </row>
    <row r="66" ht="63.95" customHeight="1">
      <c r="A66" s="1" t="n"/>
      <c r="B66" s="12" t="inlineStr">
        <is>
          <t>A.8.1</t>
        </is>
      </c>
      <c r="C66" s="32" t="inlineStr">
        <is>
          <t>Technological</t>
        </is>
      </c>
      <c r="D66" s="32" t="inlineStr">
        <is>
          <t>Perangkat endpoint pengguna</t>
        </is>
      </c>
      <c r="E66" s="32" t="inlineStr">
        <is>
          <t>Endpoint dikonfigurasi, dipantau, dan dilindungi sesuai standar</t>
        </is>
      </c>
      <c r="F66" s="32" t="inlineStr">
        <is>
          <t>Endpoint standard, MDM/EDR report, encryption, patch status</t>
        </is>
      </c>
      <c r="G66" s="13" t="inlineStr">
        <is>
          <t>Berlaku</t>
        </is>
      </c>
      <c r="H66" s="13" t="inlineStr">
        <is>
          <t>Melindungi integritas perangkat kerja yang mengakses repositori dan server produksi.</t>
        </is>
      </c>
      <c r="I66" s="13" t="n"/>
      <c r="J66" s="13" t="n"/>
      <c r="K66" s="13" t="n"/>
      <c r="L66" s="13" t="inlineStr">
        <is>
          <t>DevOps Lead</t>
        </is>
      </c>
      <c r="M66" s="14" t="n">
        <v>46302</v>
      </c>
      <c r="N66" s="14" t="n">
        <v>46418</v>
      </c>
      <c r="O66" s="13" t="n"/>
      <c r="P66" s="13" t="n"/>
      <c r="Q66" s="13" t="inlineStr">
        <is>
          <t>Belum diterapkan sistem Mobile Device Management (MDM) terpusat untuk memantau postur kepatuhan endpoint kerja.</t>
        </is>
      </c>
      <c r="R66" s="13" t="inlineStr">
        <is>
          <t>Rekomendasi: Terapkan MDM (misal Microsoft Intune / FleetDM) untuk memverifikasi enkripsi disk BitLocker, EDR aktif, dan update patch OS otomatis pada seluruh laptop tim.</t>
        </is>
      </c>
      <c r="S66" s="13" t="inlineStr">
        <is>
          <t>Sedang</t>
        </is>
      </c>
      <c r="T66" s="14" t="n">
        <v>46418</v>
      </c>
      <c r="U66" s="13" t="n"/>
      <c r="V66" s="14" t="n"/>
      <c r="W66" s="31">
        <f>IF(G66="Belum ditentukan","Tentukan relevansi",IF(G66="Tidak berlaku",IF(OR(H66="",U66="",V66=""),"Lengkapi justifikasi","Tercatat"),IF(OR(J66="",L66="",N66="",O66="",P66=""),"Lengkapi assessment",IF(AND(I66="Diterapkan",J66="Lengkap",O66="Memadai",P66="Efektif",OR(K66="",U66="",V66="")),"Lengkapi bukti/reviewer","Tercatat"))))</f>
        <v/>
      </c>
      <c r="X66" s="31">
        <f>IF(G66="Belum ditentukan","Belum dinilai",IF(G66="Tidak berlaku",IF(W66="Tercatat","Dikecualikan","Belum siap"),IF(AND(I66="Diterapkan",J66="Lengkap",O66="Memadai",P66="Efektif",W66="Tercatat"),"Siap","Belum siap")))</f>
        <v/>
      </c>
      <c r="Y66" s="31">
        <f>IF(G66="Belum ditentukan","Belum dijadwalkan",IF(N66="","Tanpa jadwal",IF(N66&lt;'Master Data'!$C$9,"Review lewat","Dalam jadwal")))</f>
        <v/>
      </c>
      <c r="Z66" s="31">
        <f>IF(X66="Belum dinilai","Belum dinilai",IF(AND(OR(X66="Siap",X66="Dikecualikan"),Y66="Dalam jadwal"),"Tidak","Ya"))</f>
        <v/>
      </c>
    </row>
    <row r="67" ht="63.95" customHeight="1">
      <c r="A67" s="1" t="n"/>
      <c r="B67" s="12" t="inlineStr">
        <is>
          <t>A.8.2</t>
        </is>
      </c>
      <c r="C67" s="32" t="inlineStr">
        <is>
          <t>Technological</t>
        </is>
      </c>
      <c r="D67" s="32" t="inlineStr">
        <is>
          <t>Hak akses istimewa</t>
        </is>
      </c>
      <c r="E67" s="32" t="inlineStr">
        <is>
          <t>Privileged access dibatasi, disetujui, dan ditinjau</t>
        </is>
      </c>
      <c r="F67" s="32" t="inlineStr">
        <is>
          <t>PAM report, admin list, approval, session log, recertification</t>
        </is>
      </c>
      <c r="G67" s="13" t="inlineStr">
        <is>
          <t>Berlaku</t>
        </is>
      </c>
      <c r="H67" s="13" t="inlineStr">
        <is>
          <t>Kontrol A.8.2 relevan dan wajib diterapkan pada platform operasional auditsphere.app.</t>
        </is>
      </c>
      <c r="I67" s="13" t="inlineStr">
        <is>
          <t>Diterapkan</t>
        </is>
      </c>
      <c r="J67" s="13" t="inlineStr">
        <is>
          <t>Lengkap</t>
        </is>
      </c>
      <c r="K67" s="13" t="inlineStr">
        <is>
          <t>TEC-SSH-Hardening</t>
        </is>
      </c>
      <c r="L67" s="13" t="inlineStr">
        <is>
          <t>DevOps Lead</t>
        </is>
      </c>
      <c r="M67" s="14" t="n">
        <v>46302</v>
      </c>
      <c r="N67" s="14" t="n">
        <v>46477</v>
      </c>
      <c r="O67" s="13" t="inlineStr">
        <is>
          <t>Memadai</t>
        </is>
      </c>
      <c r="P67" s="13" t="inlineStr">
        <is>
          <t>Efektif</t>
        </is>
      </c>
      <c r="Q67" s="13" t="inlineStr">
        <is>
          <t>Hak istimewa root dibatasi; database root dipisahkan dari user aplikasi; MFA wajib bagi admin.</t>
        </is>
      </c>
      <c r="R67" s="13" t="inlineStr">
        <is>
          <t>Pertahankan efektivitas kontrol dan lakukan review operasional berkala</t>
        </is>
      </c>
      <c r="S67" s="13" t="inlineStr">
        <is>
          <t>Sedang</t>
        </is>
      </c>
      <c r="T67" s="14" t="n">
        <v>46477</v>
      </c>
      <c r="U67" s="13" t="inlineStr">
        <is>
          <t>Dimas (Group Vision)</t>
        </is>
      </c>
      <c r="V67" s="14" t="n">
        <v>46302</v>
      </c>
      <c r="W67" s="31">
        <f>IF(G67="Belum ditentukan","Tentukan relevansi",IF(G67="Tidak berlaku",IF(OR(H67="",U67="",V67=""),"Lengkapi justifikasi","Tercatat"),IF(OR(J67="",L67="",N67="",O67="",P67=""),"Lengkapi assessment",IF(AND(I67="Diterapkan",J67="Lengkap",O67="Memadai",P67="Efektif",OR(K67="",U67="",V67="")),"Lengkapi bukti/reviewer","Tercatat"))))</f>
        <v/>
      </c>
      <c r="X67" s="31">
        <f>IF(G67="Belum ditentukan","Belum dinilai",IF(G67="Tidak berlaku",IF(W67="Tercatat","Dikecualikan","Belum siap"),IF(AND(I67="Diterapkan",J67="Lengkap",O67="Memadai",P67="Efektif",W67="Tercatat"),"Siap","Belum siap")))</f>
        <v/>
      </c>
      <c r="Y67" s="31">
        <f>IF(G67="Belum ditentukan","Belum dijadwalkan",IF(N67="","Tanpa jadwal",IF(N67&lt;'Master Data'!$C$9,"Review lewat","Dalam jadwal")))</f>
        <v/>
      </c>
      <c r="Z67" s="31">
        <f>IF(X67="Belum dinilai","Belum dinilai",IF(AND(OR(X67="Siap",X67="Dikecualikan"),Y67="Dalam jadwal"),"Tidak","Ya"))</f>
        <v/>
      </c>
    </row>
    <row r="68" ht="63.95" customHeight="1">
      <c r="A68" s="1" t="n"/>
      <c r="B68" s="12" t="inlineStr">
        <is>
          <t>A.8.3</t>
        </is>
      </c>
      <c r="C68" s="32" t="inlineStr">
        <is>
          <t>Technological</t>
        </is>
      </c>
      <c r="D68" s="32" t="inlineStr">
        <is>
          <t>Pembatasan akses informasi</t>
        </is>
      </c>
      <c r="E68" s="32" t="inlineStr">
        <is>
          <t>Akses data dan fungsi dibatasi sesuai kebutuhan bisnis</t>
        </is>
      </c>
      <c r="F68" s="32" t="inlineStr">
        <is>
          <t>RBAC matrix, ACL export, test access, access review</t>
        </is>
      </c>
      <c r="G68" s="13" t="inlineStr">
        <is>
          <t>Berlaku</t>
        </is>
      </c>
      <c r="H68" s="13" t="inlineStr">
        <is>
          <t>Kontrol A.8.3 relevan dan wajib diterapkan pada platform operasional auditsphere.app.</t>
        </is>
      </c>
      <c r="I68" s="13" t="inlineStr">
        <is>
          <t>Diterapkan</t>
        </is>
      </c>
      <c r="J68" s="13" t="inlineStr">
        <is>
          <t>Lengkap</t>
        </is>
      </c>
      <c r="K68" s="13" t="inlineStr">
        <is>
          <t>SRC-backend/tenants</t>
        </is>
      </c>
      <c r="L68" s="13" t="inlineStr">
        <is>
          <t>Engineering Lead</t>
        </is>
      </c>
      <c r="M68" s="14" t="n">
        <v>46302</v>
      </c>
      <c r="N68" s="14" t="n">
        <v>46477</v>
      </c>
      <c r="O68" s="13" t="inlineStr">
        <is>
          <t>Memadai</t>
        </is>
      </c>
      <c r="P68" s="13" t="inlineStr">
        <is>
          <t>Efektif</t>
        </is>
      </c>
      <c r="Q68" s="13" t="inlineStr">
        <is>
          <t>Pemisahan skema multi-tenant pada PostgreSQL membatasi akses data antar-organisasi secara ketat.</t>
        </is>
      </c>
      <c r="R68" s="13" t="inlineStr">
        <is>
          <t>Pertahankan efektivitas kontrol dan lakukan review operasional berkala</t>
        </is>
      </c>
      <c r="S68" s="13" t="inlineStr">
        <is>
          <t>Sedang</t>
        </is>
      </c>
      <c r="T68" s="14" t="n">
        <v>46477</v>
      </c>
      <c r="U68" s="13" t="inlineStr">
        <is>
          <t>Dimas (Group Vision)</t>
        </is>
      </c>
      <c r="V68" s="14" t="n">
        <v>46302</v>
      </c>
      <c r="W68" s="31">
        <f>IF(G68="Belum ditentukan","Tentukan relevansi",IF(G68="Tidak berlaku",IF(OR(H68="",U68="",V68=""),"Lengkapi justifikasi","Tercatat"),IF(OR(J68="",L68="",N68="",O68="",P68=""),"Lengkapi assessment",IF(AND(I68="Diterapkan",J68="Lengkap",O68="Memadai",P68="Efektif",OR(K68="",U68="",V68="")),"Lengkapi bukti/reviewer","Tercatat"))))</f>
        <v/>
      </c>
      <c r="X68" s="31">
        <f>IF(G68="Belum ditentukan","Belum dinilai",IF(G68="Tidak berlaku",IF(W68="Tercatat","Dikecualikan","Belum siap"),IF(AND(I68="Diterapkan",J68="Lengkap",O68="Memadai",P68="Efektif",W68="Tercatat"),"Siap","Belum siap")))</f>
        <v/>
      </c>
      <c r="Y68" s="31">
        <f>IF(G68="Belum ditentukan","Belum dijadwalkan",IF(N68="","Tanpa jadwal",IF(N68&lt;'Master Data'!$C$9,"Review lewat","Dalam jadwal")))</f>
        <v/>
      </c>
      <c r="Z68" s="31">
        <f>IF(X68="Belum dinilai","Belum dinilai",IF(AND(OR(X68="Siap",X68="Dikecualikan"),Y68="Dalam jadwal"),"Tidak","Ya"))</f>
        <v/>
      </c>
    </row>
    <row r="69" ht="63.95" customHeight="1">
      <c r="A69" s="1" t="n"/>
      <c r="B69" s="12" t="inlineStr">
        <is>
          <t>A.8.4</t>
        </is>
      </c>
      <c r="C69" s="32" t="inlineStr">
        <is>
          <t>Technological</t>
        </is>
      </c>
      <c r="D69" s="32" t="inlineStr">
        <is>
          <t>Akses ke source code</t>
        </is>
      </c>
      <c r="E69" s="32" t="inlineStr">
        <is>
          <t>Repositori kode dan alat pengembangan memiliki akses terbatas</t>
        </is>
      </c>
      <c r="F69" s="32" t="inlineStr">
        <is>
          <t>Repo permissions, branch protection, access review, audit log</t>
        </is>
      </c>
      <c r="G69" s="13" t="inlineStr">
        <is>
          <t>Berlaku</t>
        </is>
      </c>
      <c r="H69" s="13" t="inlineStr">
        <is>
          <t>Kontrol A.8.4 relevan dan wajib diterapkan pada platform operasional auditsphere.app.</t>
        </is>
      </c>
      <c r="I69" s="13" t="inlineStr">
        <is>
          <t>Diterapkan</t>
        </is>
      </c>
      <c r="J69" s="13" t="inlineStr">
        <is>
          <t>Lengkap</t>
        </is>
      </c>
      <c r="K69" s="13" t="inlineStr">
        <is>
          <t>TEC-GitHub-BranchProtection</t>
        </is>
      </c>
      <c r="L69" s="13" t="inlineStr">
        <is>
          <t>Tech Lead AIFL</t>
        </is>
      </c>
      <c r="M69" s="14" t="n">
        <v>46302</v>
      </c>
      <c r="N69" s="14" t="n">
        <v>46477</v>
      </c>
      <c r="O69" s="13" t="inlineStr">
        <is>
          <t>Memadai</t>
        </is>
      </c>
      <c r="P69" s="13" t="inlineStr">
        <is>
          <t>Efektif</t>
        </is>
      </c>
      <c r="Q69" s="13" t="inlineStr">
        <is>
          <t>Akses source code privat dilindungi branch protection, audit PR mandatory, dan 2FA enforcement.</t>
        </is>
      </c>
      <c r="R69" s="13" t="inlineStr">
        <is>
          <t>Pertahankan efektivitas kontrol dan lakukan review operasional berkala</t>
        </is>
      </c>
      <c r="S69" s="13" t="inlineStr">
        <is>
          <t>Sedang</t>
        </is>
      </c>
      <c r="T69" s="14" t="n">
        <v>46477</v>
      </c>
      <c r="U69" s="13" t="inlineStr">
        <is>
          <t>Dimas (Group Vision)</t>
        </is>
      </c>
      <c r="V69" s="14" t="n">
        <v>46302</v>
      </c>
      <c r="W69" s="31">
        <f>IF(G69="Belum ditentukan","Tentukan relevansi",IF(G69="Tidak berlaku",IF(OR(H69="",U69="",V69=""),"Lengkapi justifikasi","Tercatat"),IF(OR(J69="",L69="",N69="",O69="",P69=""),"Lengkapi assessment",IF(AND(I69="Diterapkan",J69="Lengkap",O69="Memadai",P69="Efektif",OR(K69="",U69="",V69="")),"Lengkapi bukti/reviewer","Tercatat"))))</f>
        <v/>
      </c>
      <c r="X69" s="31">
        <f>IF(G69="Belum ditentukan","Belum dinilai",IF(G69="Tidak berlaku",IF(W69="Tercatat","Dikecualikan","Belum siap"),IF(AND(I69="Diterapkan",J69="Lengkap",O69="Memadai",P69="Efektif",W69="Tercatat"),"Siap","Belum siap")))</f>
        <v/>
      </c>
      <c r="Y69" s="31">
        <f>IF(G69="Belum ditentukan","Belum dijadwalkan",IF(N69="","Tanpa jadwal",IF(N69&lt;'Master Data'!$C$9,"Review lewat","Dalam jadwal")))</f>
        <v/>
      </c>
      <c r="Z69" s="31">
        <f>IF(X69="Belum dinilai","Belum dinilai",IF(AND(OR(X69="Siap",X69="Dikecualikan"),Y69="Dalam jadwal"),"Tidak","Ya"))</f>
        <v/>
      </c>
    </row>
    <row r="70" ht="63.95" customHeight="1">
      <c r="A70" s="1" t="n"/>
      <c r="B70" s="12" t="inlineStr">
        <is>
          <t>A.8.5</t>
        </is>
      </c>
      <c r="C70" s="32" t="inlineStr">
        <is>
          <t>Technological</t>
        </is>
      </c>
      <c r="D70" s="32" t="inlineStr">
        <is>
          <t>Autentikasi aman</t>
        </is>
      </c>
      <c r="E70" s="32" t="inlineStr">
        <is>
          <t>Mekanisme autentikasi sesuai risiko dan terlindungi</t>
        </is>
      </c>
      <c r="F70" s="32" t="inlineStr">
        <is>
          <t>MFA config, password policy, SSO setting, authentication log</t>
        </is>
      </c>
      <c r="G70" s="13" t="inlineStr">
        <is>
          <t>Berlaku</t>
        </is>
      </c>
      <c r="H70" s="13" t="inlineStr">
        <is>
          <t>Kontrol A.8.5 relevan dan wajib diterapkan pada platform operasional auditsphere.app.</t>
        </is>
      </c>
      <c r="I70" s="13" t="inlineStr">
        <is>
          <t>Diterapkan</t>
        </is>
      </c>
      <c r="J70" s="13" t="inlineStr">
        <is>
          <t>Lengkap</t>
        </is>
      </c>
      <c r="K70" s="13" t="inlineStr">
        <is>
          <t>SRC-backend/auth-service/services/mfa</t>
        </is>
      </c>
      <c r="L70" s="13" t="inlineStr">
        <is>
          <t>Lead Developer</t>
        </is>
      </c>
      <c r="M70" s="14" t="n">
        <v>46302</v>
      </c>
      <c r="N70" s="14" t="n">
        <v>46477</v>
      </c>
      <c r="O70" s="13" t="inlineStr">
        <is>
          <t>Memadai</t>
        </is>
      </c>
      <c r="P70" s="13" t="inlineStr">
        <is>
          <t>Efektif</t>
        </is>
      </c>
      <c r="Q70" s="13" t="inlineStr">
        <is>
          <t>Autentikasi berlapis aman dengan enkripsi password bcrypt dan Time-based OTP (TOTP) aktif.</t>
        </is>
      </c>
      <c r="R70" s="13" t="inlineStr">
        <is>
          <t>Pertahankan efektivitas kontrol dan lakukan review operasional berkala</t>
        </is>
      </c>
      <c r="S70" s="13" t="inlineStr">
        <is>
          <t>Sedang</t>
        </is>
      </c>
      <c r="T70" s="14" t="n">
        <v>46477</v>
      </c>
      <c r="U70" s="13" t="inlineStr">
        <is>
          <t>Dimas (Group Vision)</t>
        </is>
      </c>
      <c r="V70" s="14" t="n">
        <v>46302</v>
      </c>
      <c r="W70" s="31">
        <f>IF(G70="Belum ditentukan","Tentukan relevansi",IF(G70="Tidak berlaku",IF(OR(H70="",U70="",V70=""),"Lengkapi justifikasi","Tercatat"),IF(OR(J70="",L70="",N70="",O70="",P70=""),"Lengkapi assessment",IF(AND(I70="Diterapkan",J70="Lengkap",O70="Memadai",P70="Efektif",OR(K70="",U70="",V70="")),"Lengkapi bukti/reviewer","Tercatat"))))</f>
        <v/>
      </c>
      <c r="X70" s="31">
        <f>IF(G70="Belum ditentukan","Belum dinilai",IF(G70="Tidak berlaku",IF(W70="Tercatat","Dikecualikan","Belum siap"),IF(AND(I70="Diterapkan",J70="Lengkap",O70="Memadai",P70="Efektif",W70="Tercatat"),"Siap","Belum siap")))</f>
        <v/>
      </c>
      <c r="Y70" s="31">
        <f>IF(G70="Belum ditentukan","Belum dijadwalkan",IF(N70="","Tanpa jadwal",IF(N70&lt;'Master Data'!$C$9,"Review lewat","Dalam jadwal")))</f>
        <v/>
      </c>
      <c r="Z70" s="31">
        <f>IF(X70="Belum dinilai","Belum dinilai",IF(AND(OR(X70="Siap",X70="Dikecualikan"),Y70="Dalam jadwal"),"Tidak","Ya"))</f>
        <v/>
      </c>
    </row>
    <row r="71" ht="63.95" customHeight="1">
      <c r="A71" s="1" t="n"/>
      <c r="B71" s="12" t="inlineStr">
        <is>
          <t>A.8.6</t>
        </is>
      </c>
      <c r="C71" s="32" t="inlineStr">
        <is>
          <t>Technological</t>
        </is>
      </c>
      <c r="D71" s="32" t="inlineStr">
        <is>
          <t>Manajemen kapasitas</t>
        </is>
      </c>
      <c r="E71" s="32" t="inlineStr">
        <is>
          <t>Kapasitas sumber daya dipantau dan direncanakan</t>
        </is>
      </c>
      <c r="F71" s="32" t="inlineStr">
        <is>
          <t>Capacity dashboard, threshold, forecast, scaling ticket</t>
        </is>
      </c>
      <c r="G71" s="13" t="inlineStr">
        <is>
          <t>Berlaku</t>
        </is>
      </c>
      <c r="H71" s="13" t="inlineStr">
        <is>
          <t>Kontrol A.8.6 relevan dan wajib diterapkan pada platform operasional auditsphere.app.</t>
        </is>
      </c>
      <c r="I71" s="13" t="inlineStr">
        <is>
          <t>Diterapkan</t>
        </is>
      </c>
      <c r="J71" s="13" t="inlineStr">
        <is>
          <t>Lengkap</t>
        </is>
      </c>
      <c r="K71" s="13" t="inlineStr">
        <is>
          <t>DOC-SIZING_GUIDE.md</t>
        </is>
      </c>
      <c r="L71" s="13" t="inlineStr">
        <is>
          <t>DevOps Lead</t>
        </is>
      </c>
      <c r="M71" s="14" t="n">
        <v>46302</v>
      </c>
      <c r="N71" s="14" t="n">
        <v>46477</v>
      </c>
      <c r="O71" s="13" t="inlineStr">
        <is>
          <t>Memadai</t>
        </is>
      </c>
      <c r="P71" s="13" t="inlineStr">
        <is>
          <t>Efektif</t>
        </is>
      </c>
      <c r="Q71" s="13" t="inlineStr">
        <is>
          <t>Pemantauan utilisasi kapasitas dan batasan alokasi memori heap Kafka/PostgreSQL terukur.</t>
        </is>
      </c>
      <c r="R71" s="13" t="inlineStr">
        <is>
          <t>Pertahankan efektivitas kontrol dan lakukan review operasional berkala</t>
        </is>
      </c>
      <c r="S71" s="13" t="inlineStr">
        <is>
          <t>Sedang</t>
        </is>
      </c>
      <c r="T71" s="14" t="n">
        <v>46477</v>
      </c>
      <c r="U71" s="13" t="inlineStr">
        <is>
          <t>Dimas (Group Vision)</t>
        </is>
      </c>
      <c r="V71" s="14" t="n">
        <v>46302</v>
      </c>
      <c r="W71" s="31">
        <f>IF(G71="Belum ditentukan","Tentukan relevansi",IF(G71="Tidak berlaku",IF(OR(H71="",U71="",V71=""),"Lengkapi justifikasi","Tercatat"),IF(OR(J71="",L71="",N71="",O71="",P71=""),"Lengkapi assessment",IF(AND(I71="Diterapkan",J71="Lengkap",O71="Memadai",P71="Efektif",OR(K71="",U71="",V71="")),"Lengkapi bukti/reviewer","Tercatat"))))</f>
        <v/>
      </c>
      <c r="X71" s="31">
        <f>IF(G71="Belum ditentukan","Belum dinilai",IF(G71="Tidak berlaku",IF(W71="Tercatat","Dikecualikan","Belum siap"),IF(AND(I71="Diterapkan",J71="Lengkap",O71="Memadai",P71="Efektif",W71="Tercatat"),"Siap","Belum siap")))</f>
        <v/>
      </c>
      <c r="Y71" s="31">
        <f>IF(G71="Belum ditentukan","Belum dijadwalkan",IF(N71="","Tanpa jadwal",IF(N71&lt;'Master Data'!$C$9,"Review lewat","Dalam jadwal")))</f>
        <v/>
      </c>
      <c r="Z71" s="31">
        <f>IF(X71="Belum dinilai","Belum dinilai",IF(AND(OR(X71="Siap",X71="Dikecualikan"),Y71="Dalam jadwal"),"Tidak","Ya"))</f>
        <v/>
      </c>
    </row>
    <row r="72" ht="63.95" customHeight="1">
      <c r="A72" s="1" t="n"/>
      <c r="B72" s="12" t="inlineStr">
        <is>
          <t>A.8.7</t>
        </is>
      </c>
      <c r="C72" s="32" t="inlineStr">
        <is>
          <t>Technological</t>
        </is>
      </c>
      <c r="D72" s="32" t="inlineStr">
        <is>
          <t>Perlindungan terhadap malware</t>
        </is>
      </c>
      <c r="E72" s="32" t="inlineStr">
        <is>
          <t>Pencegahan, deteksi, respons, dan awareness malware diterapkan</t>
        </is>
      </c>
      <c r="F72" s="32" t="inlineStr">
        <is>
          <t>EDR/AV console, policy, alert ticket, coverage report</t>
        </is>
      </c>
      <c r="G72" s="13" t="inlineStr">
        <is>
          <t>Berlaku</t>
        </is>
      </c>
      <c r="H72" s="13" t="inlineStr">
        <is>
          <t>Melindungi server dari file berbahaya yang disisipkan melalui unggahan bukti audit kertas kerja.</t>
        </is>
      </c>
      <c r="I72" s="13" t="n"/>
      <c r="J72" s="13" t="n"/>
      <c r="K72" s="13" t="n"/>
      <c r="L72" s="13" t="inlineStr">
        <is>
          <t>Engineering Lead</t>
        </is>
      </c>
      <c r="M72" s="14" t="n">
        <v>46302</v>
      </c>
      <c r="N72" s="14" t="n">
        <v>46356</v>
      </c>
      <c r="O72" s="13" t="n"/>
      <c r="P72" s="13" t="n"/>
      <c r="Q72" s="13" t="inlineStr">
        <is>
          <t>File upload lampiran bukti audit belum dipindai secara otomatis oleh antivirus/malware scanner saat proses upload.</t>
        </is>
      </c>
      <c r="R72" s="13" t="inlineStr">
        <is>
          <t>Rekomendasi: Integrasikan ClamAV daemon container pada rute upload dokumen di backend/audit-service untuk memindai berkas sebelum disimpan ke disk storage.</t>
        </is>
      </c>
      <c r="S72" s="13" t="inlineStr">
        <is>
          <t>Tinggi</t>
        </is>
      </c>
      <c r="T72" s="14" t="n">
        <v>46356</v>
      </c>
      <c r="U72" s="13" t="n"/>
      <c r="V72" s="14" t="n"/>
      <c r="W72" s="31">
        <f>IF(G72="Belum ditentukan","Tentukan relevansi",IF(G72="Tidak berlaku",IF(OR(H72="",U72="",V72=""),"Lengkapi justifikasi","Tercatat"),IF(OR(J72="",L72="",N72="",O72="",P72=""),"Lengkapi assessment",IF(AND(I72="Diterapkan",J72="Lengkap",O72="Memadai",P72="Efektif",OR(K72="",U72="",V72="")),"Lengkapi bukti/reviewer","Tercatat"))))</f>
        <v/>
      </c>
      <c r="X72" s="31">
        <f>IF(G72="Belum ditentukan","Belum dinilai",IF(G72="Tidak berlaku",IF(W72="Tercatat","Dikecualikan","Belum siap"),IF(AND(I72="Diterapkan",J72="Lengkap",O72="Memadai",P72="Efektif",W72="Tercatat"),"Siap","Belum siap")))</f>
        <v/>
      </c>
      <c r="Y72" s="31">
        <f>IF(G72="Belum ditentukan","Belum dijadwalkan",IF(N72="","Tanpa jadwal",IF(N72&lt;'Master Data'!$C$9,"Review lewat","Dalam jadwal")))</f>
        <v/>
      </c>
      <c r="Z72" s="31">
        <f>IF(X72="Belum dinilai","Belum dinilai",IF(AND(OR(X72="Siap",X72="Dikecualikan"),Y72="Dalam jadwal"),"Tidak","Ya"))</f>
        <v/>
      </c>
    </row>
    <row r="73" ht="63.95" customHeight="1">
      <c r="A73" s="1" t="n"/>
      <c r="B73" s="12" t="inlineStr">
        <is>
          <t>A.8.8</t>
        </is>
      </c>
      <c r="C73" s="32" t="inlineStr">
        <is>
          <t>Technological</t>
        </is>
      </c>
      <c r="D73" s="32" t="inlineStr">
        <is>
          <t>Pengelolaan kerentanan teknis</t>
        </is>
      </c>
      <c r="E73" s="32" t="inlineStr">
        <is>
          <t>Kerentanan diidentifikasi, diprioritaskan, dan diperbaiki tepat waktu</t>
        </is>
      </c>
      <c r="F73" s="32" t="inlineStr">
        <is>
          <t>Scan report, patch SLA, remediation ticket, exception register</t>
        </is>
      </c>
      <c r="G73" s="13" t="inlineStr">
        <is>
          <t>Berlaku</t>
        </is>
      </c>
      <c r="H73" s="13" t="inlineStr">
        <is>
          <t>Mendeteksi celah keamanan kode dan dependensi sebelum dirilis ke lingkungan produksi.</t>
        </is>
      </c>
      <c r="I73" s="13" t="n"/>
      <c r="J73" s="13" t="n"/>
      <c r="K73" s="13" t="n"/>
      <c r="L73" s="13" t="inlineStr">
        <is>
          <t>DevOps / QA Lead</t>
        </is>
      </c>
      <c r="M73" s="14" t="n">
        <v>46302</v>
      </c>
      <c r="N73" s="14" t="n">
        <v>46356</v>
      </c>
      <c r="O73" s="13" t="n"/>
      <c r="P73" s="13" t="n"/>
      <c r="Q73" s="13" t="inlineStr">
        <is>
          <t>Pemindaian kerentanan SAST/DAST otomatis pada pipeline CI/CD belum berjalan sebagai quality gate wajib.</t>
        </is>
      </c>
      <c r="R73" s="13" t="inlineStr">
        <is>
          <t>Rekomendasi: Pasang Semgrep/SonarQube (SAST) dan OWASP ZAP (DAST) pada alur CI/CD GitHub Actions dengan ambang batas pemblokiran merge untuk severity High/Critical.</t>
        </is>
      </c>
      <c r="S73" s="13" t="inlineStr">
        <is>
          <t>Tinggi</t>
        </is>
      </c>
      <c r="T73" s="14" t="n">
        <v>46356</v>
      </c>
      <c r="U73" s="13" t="n"/>
      <c r="V73" s="14" t="n"/>
      <c r="W73" s="31">
        <f>IF(G73="Belum ditentukan","Tentukan relevansi",IF(G73="Tidak berlaku",IF(OR(H73="",U73="",V73=""),"Lengkapi justifikasi","Tercatat"),IF(OR(J73="",L73="",N73="",O73="",P73=""),"Lengkapi assessment",IF(AND(I73="Diterapkan",J73="Lengkap",O73="Memadai",P73="Efektif",OR(K73="",U73="",V73="")),"Lengkapi bukti/reviewer","Tercatat"))))</f>
        <v/>
      </c>
      <c r="X73" s="31">
        <f>IF(G73="Belum ditentukan","Belum dinilai",IF(G73="Tidak berlaku",IF(W73="Tercatat","Dikecualikan","Belum siap"),IF(AND(I73="Diterapkan",J73="Lengkap",O73="Memadai",P73="Efektif",W73="Tercatat"),"Siap","Belum siap")))</f>
        <v/>
      </c>
      <c r="Y73" s="31">
        <f>IF(G73="Belum ditentukan","Belum dijadwalkan",IF(N73="","Tanpa jadwal",IF(N73&lt;'Master Data'!$C$9,"Review lewat","Dalam jadwal")))</f>
        <v/>
      </c>
      <c r="Z73" s="31">
        <f>IF(X73="Belum dinilai","Belum dinilai",IF(AND(OR(X73="Siap",X73="Dikecualikan"),Y73="Dalam jadwal"),"Tidak","Ya"))</f>
        <v/>
      </c>
    </row>
    <row r="74" ht="63.95" customHeight="1">
      <c r="A74" s="1" t="n"/>
      <c r="B74" s="12" t="inlineStr">
        <is>
          <t>A.8.9</t>
        </is>
      </c>
      <c r="C74" s="32" t="inlineStr">
        <is>
          <t>Technological</t>
        </is>
      </c>
      <c r="D74" s="32" t="inlineStr">
        <is>
          <t>Manajemen konfigurasi</t>
        </is>
      </c>
      <c r="E74" s="32" t="inlineStr">
        <is>
          <t>Baseline konfigurasi ditetapkan, diterapkan, dan dipantau</t>
        </is>
      </c>
      <c r="F74" s="32" t="inlineStr">
        <is>
          <t>Hardening baseline, config inventory, drift report, approval</t>
        </is>
      </c>
      <c r="G74" s="13" t="inlineStr">
        <is>
          <t>Berlaku</t>
        </is>
      </c>
      <c r="H74" s="13" t="inlineStr">
        <is>
          <t>Kontrol A.8.9 relevan dan wajib diterapkan pada platform operasional auditsphere.app.</t>
        </is>
      </c>
      <c r="I74" s="13" t="inlineStr">
        <is>
          <t>Diterapkan</t>
        </is>
      </c>
      <c r="J74" s="13" t="inlineStr">
        <is>
          <t>Lengkap</t>
        </is>
      </c>
      <c r="K74" s="13" t="inlineStr">
        <is>
          <t>TEC-Docker-Compose-Prod</t>
        </is>
      </c>
      <c r="L74" s="13" t="inlineStr">
        <is>
          <t>DevOps Lead</t>
        </is>
      </c>
      <c r="M74" s="14" t="n">
        <v>46302</v>
      </c>
      <c r="N74" s="14" t="n">
        <v>46477</v>
      </c>
      <c r="O74" s="13" t="inlineStr">
        <is>
          <t>Memadai</t>
        </is>
      </c>
      <c r="P74" s="13" t="inlineStr">
        <is>
          <t>Efektif</t>
        </is>
      </c>
      <c r="Q74" s="13" t="inlineStr">
        <is>
          <t>Baseline konfigurasi sistem didefinisikan secara deklaratif pada docker-compose.prod.yml dan kong.yml.</t>
        </is>
      </c>
      <c r="R74" s="13" t="inlineStr">
        <is>
          <t>Pertahankan efektivitas kontrol dan lakukan review operasional berkala</t>
        </is>
      </c>
      <c r="S74" s="13" t="inlineStr">
        <is>
          <t>Sedang</t>
        </is>
      </c>
      <c r="T74" s="14" t="n">
        <v>46477</v>
      </c>
      <c r="U74" s="13" t="inlineStr">
        <is>
          <t>Dimas (Group Vision)</t>
        </is>
      </c>
      <c r="V74" s="14" t="n">
        <v>46302</v>
      </c>
      <c r="W74" s="31">
        <f>IF(G74="Belum ditentukan","Tentukan relevansi",IF(G74="Tidak berlaku",IF(OR(H74="",U74="",V74=""),"Lengkapi justifikasi","Tercatat"),IF(OR(J74="",L74="",N74="",O74="",P74=""),"Lengkapi assessment",IF(AND(I74="Diterapkan",J74="Lengkap",O74="Memadai",P74="Efektif",OR(K74="",U74="",V74="")),"Lengkapi bukti/reviewer","Tercatat"))))</f>
        <v/>
      </c>
      <c r="X74" s="31">
        <f>IF(G74="Belum ditentukan","Belum dinilai",IF(G74="Tidak berlaku",IF(W74="Tercatat","Dikecualikan","Belum siap"),IF(AND(I74="Diterapkan",J74="Lengkap",O74="Memadai",P74="Efektif",W74="Tercatat"),"Siap","Belum siap")))</f>
        <v/>
      </c>
      <c r="Y74" s="31">
        <f>IF(G74="Belum ditentukan","Belum dijadwalkan",IF(N74="","Tanpa jadwal",IF(N74&lt;'Master Data'!$C$9,"Review lewat","Dalam jadwal")))</f>
        <v/>
      </c>
      <c r="Z74" s="31">
        <f>IF(X74="Belum dinilai","Belum dinilai",IF(AND(OR(X74="Siap",X74="Dikecualikan"),Y74="Dalam jadwal"),"Tidak","Ya"))</f>
        <v/>
      </c>
    </row>
    <row r="75" ht="63.95" customHeight="1">
      <c r="A75" s="1" t="n"/>
      <c r="B75" s="12" t="inlineStr">
        <is>
          <t>A.8.10</t>
        </is>
      </c>
      <c r="C75" s="32" t="inlineStr">
        <is>
          <t>Technological</t>
        </is>
      </c>
      <c r="D75" s="32" t="inlineStr">
        <is>
          <t>Penghapusan informasi</t>
        </is>
      </c>
      <c r="E75" s="32" t="inlineStr">
        <is>
          <t>Data dihapus saat tidak diperlukan dan penghapusan dapat dibuktikan</t>
        </is>
      </c>
      <c r="F75" s="32" t="inlineStr">
        <is>
          <t>Deletion procedure, retention trigger, deletion log, certificate</t>
        </is>
      </c>
      <c r="G75" s="13" t="inlineStr">
        <is>
          <t>Berlaku</t>
        </is>
      </c>
      <c r="H75" s="13" t="inlineStr">
        <is>
          <t>Kontrol A.8.10 relevan dan wajib diterapkan pada platform operasional auditsphere.app.</t>
        </is>
      </c>
      <c r="I75" s="13" t="inlineStr">
        <is>
          <t>Diterapkan</t>
        </is>
      </c>
      <c r="J75" s="13" t="inlineStr">
        <is>
          <t>Lengkap</t>
        </is>
      </c>
      <c r="K75" s="13" t="inlineStr">
        <is>
          <t>SRC-backend/audit-service/models</t>
        </is>
      </c>
      <c r="L75" s="13" t="inlineStr">
        <is>
          <t>Engineering Lead</t>
        </is>
      </c>
      <c r="M75" s="14" t="n">
        <v>46302</v>
      </c>
      <c r="N75" s="14" t="n">
        <v>46477</v>
      </c>
      <c r="O75" s="13" t="inlineStr">
        <is>
          <t>Memadai</t>
        </is>
      </c>
      <c r="P75" s="13" t="inlineStr">
        <is>
          <t>Efektif</t>
        </is>
      </c>
      <c r="Q75" s="13" t="inlineStr">
        <is>
          <t>Mekanisme soft-delete dan penghapusan data aman terintegrasi pada repository database.</t>
        </is>
      </c>
      <c r="R75" s="13" t="inlineStr">
        <is>
          <t>Pertahankan efektivitas kontrol dan lakukan review operasional berkala</t>
        </is>
      </c>
      <c r="S75" s="13" t="inlineStr">
        <is>
          <t>Sedang</t>
        </is>
      </c>
      <c r="T75" s="14" t="n">
        <v>46477</v>
      </c>
      <c r="U75" s="13" t="inlineStr">
        <is>
          <t>Dimas (Group Vision)</t>
        </is>
      </c>
      <c r="V75" s="14" t="n">
        <v>46302</v>
      </c>
      <c r="W75" s="31">
        <f>IF(G75="Belum ditentukan","Tentukan relevansi",IF(G75="Tidak berlaku",IF(OR(H75="",U75="",V75=""),"Lengkapi justifikasi","Tercatat"),IF(OR(J75="",L75="",N75="",O75="",P75=""),"Lengkapi assessment",IF(AND(I75="Diterapkan",J75="Lengkap",O75="Memadai",P75="Efektif",OR(K75="",U75="",V75="")),"Lengkapi bukti/reviewer","Tercatat"))))</f>
        <v/>
      </c>
      <c r="X75" s="31">
        <f>IF(G75="Belum ditentukan","Belum dinilai",IF(G75="Tidak berlaku",IF(W75="Tercatat","Dikecualikan","Belum siap"),IF(AND(I75="Diterapkan",J75="Lengkap",O75="Memadai",P75="Efektif",W75="Tercatat"),"Siap","Belum siap")))</f>
        <v/>
      </c>
      <c r="Y75" s="31">
        <f>IF(G75="Belum ditentukan","Belum dijadwalkan",IF(N75="","Tanpa jadwal",IF(N75&lt;'Master Data'!$C$9,"Review lewat","Dalam jadwal")))</f>
        <v/>
      </c>
      <c r="Z75" s="31">
        <f>IF(X75="Belum dinilai","Belum dinilai",IF(AND(OR(X75="Siap",X75="Dikecualikan"),Y75="Dalam jadwal"),"Tidak","Ya"))</f>
        <v/>
      </c>
    </row>
    <row r="76" ht="63.95" customHeight="1">
      <c r="A76" s="1" t="n"/>
      <c r="B76" s="12" t="inlineStr">
        <is>
          <t>A.8.11</t>
        </is>
      </c>
      <c r="C76" s="32" t="inlineStr">
        <is>
          <t>Technological</t>
        </is>
      </c>
      <c r="D76" s="32" t="inlineStr">
        <is>
          <t>Data masking</t>
        </is>
      </c>
      <c r="E76" s="32" t="inlineStr">
        <is>
          <t>Masking diterapkan sesuai risiko dan tujuan penggunaan</t>
        </is>
      </c>
      <c r="F76" s="32" t="inlineStr">
        <is>
          <t>Masking rule, sample output, config, access approval</t>
        </is>
      </c>
      <c r="G76" s="13" t="inlineStr">
        <is>
          <t>Berlaku</t>
        </is>
      </c>
      <c r="H76" s="13" t="inlineStr">
        <is>
          <t>Melindungi kerahasiaan PII dan informasi rekening sensitif pada modul AI analytics.</t>
        </is>
      </c>
      <c r="I76" s="13" t="n"/>
      <c r="J76" s="13" t="n"/>
      <c r="K76" s="13" t="n"/>
      <c r="L76" s="13" t="inlineStr">
        <is>
          <t>AI Engineer</t>
        </is>
      </c>
      <c r="M76" s="14" t="n">
        <v>46302</v>
      </c>
      <c r="N76" s="14" t="n">
        <v>46356</v>
      </c>
      <c r="O76" s="13" t="n"/>
      <c r="P76" s="13" t="n"/>
      <c r="Q76" s="13" t="inlineStr">
        <is>
          <t>Data masking di frontend analitik telah berjalan, namun modul otomatis PII scrubbing sebelum prompt dikirim ke endpoint AI/LLM belum terpasang.</t>
        </is>
      </c>
      <c r="R76" s="13" t="inlineStr">
        <is>
          <t>Rekomendasi: Implementasikan middleware penyamaran (masking regex) PII pada endpoint /server/api/openai.ts sebelum query dikirim ke model eksternal.</t>
        </is>
      </c>
      <c r="S76" s="13" t="inlineStr">
        <is>
          <t>Tinggi</t>
        </is>
      </c>
      <c r="T76" s="14" t="n">
        <v>46356</v>
      </c>
      <c r="U76" s="13" t="n"/>
      <c r="V76" s="14" t="n"/>
      <c r="W76" s="31">
        <f>IF(G76="Belum ditentukan","Tentukan relevansi",IF(G76="Tidak berlaku",IF(OR(H76="",U76="",V76=""),"Lengkapi justifikasi","Tercatat"),IF(OR(J76="",L76="",N76="",O76="",P76=""),"Lengkapi assessment",IF(AND(I76="Diterapkan",J76="Lengkap",O76="Memadai",P76="Efektif",OR(K76="",U76="",V76="")),"Lengkapi bukti/reviewer","Tercatat"))))</f>
        <v/>
      </c>
      <c r="X76" s="31">
        <f>IF(G76="Belum ditentukan","Belum dinilai",IF(G76="Tidak berlaku",IF(W76="Tercatat","Dikecualikan","Belum siap"),IF(AND(I76="Diterapkan",J76="Lengkap",O76="Memadai",P76="Efektif",W76="Tercatat"),"Siap","Belum siap")))</f>
        <v/>
      </c>
      <c r="Y76" s="31">
        <f>IF(G76="Belum ditentukan","Belum dijadwalkan",IF(N76="","Tanpa jadwal",IF(N76&lt;'Master Data'!$C$9,"Review lewat","Dalam jadwal")))</f>
        <v/>
      </c>
      <c r="Z76" s="31">
        <f>IF(X76="Belum dinilai","Belum dinilai",IF(AND(OR(X76="Siap",X76="Dikecualikan"),Y76="Dalam jadwal"),"Tidak","Ya"))</f>
        <v/>
      </c>
    </row>
    <row r="77" ht="63.95" customHeight="1">
      <c r="A77" s="1" t="n"/>
      <c r="B77" s="12" t="inlineStr">
        <is>
          <t>A.8.12</t>
        </is>
      </c>
      <c r="C77" s="32" t="inlineStr">
        <is>
          <t>Technological</t>
        </is>
      </c>
      <c r="D77" s="32" t="inlineStr">
        <is>
          <t>Pencegahan kebocoran data</t>
        </is>
      </c>
      <c r="E77" s="32" t="inlineStr">
        <is>
          <t>Kanal kebocoran dipantau dan dikendalikan sesuai klasifikasi</t>
        </is>
      </c>
      <c r="F77" s="32" t="inlineStr">
        <is>
          <t>DLP policy, rule set, alert log, incident ticket</t>
        </is>
      </c>
      <c r="G77" s="13" t="inlineStr">
        <is>
          <t>Berlaku</t>
        </is>
      </c>
      <c r="H77" s="13" t="inlineStr">
        <is>
          <t>Mencegah kebocoran data rahasia audit klien ke domain publik atau jaringan eksternal.</t>
        </is>
      </c>
      <c r="I77" s="13" t="n"/>
      <c r="J77" s="13" t="n"/>
      <c r="K77" s="13" t="n"/>
      <c r="L77" s="13" t="inlineStr">
        <is>
          <t>Security Architect</t>
        </is>
      </c>
      <c r="M77" s="14" t="n">
        <v>46302</v>
      </c>
      <c r="N77" s="14" t="n">
        <v>46387</v>
      </c>
      <c r="O77" s="13" t="n"/>
      <c r="P77" s="13" t="n"/>
      <c r="Q77" s="13" t="inlineStr">
        <is>
          <t>Sistem Data Loss Prevention (DLP) otomatis berbasis konten belum aktif pada API Gateway.</t>
        </is>
      </c>
      <c r="R77" s="13" t="inlineStr">
        <is>
          <t>Rekomendasi: Pasang aturan Content-Security/DLP pattern filter pada Kong Gateway untuk mendeteksi transfer massal data sensitif ke tujuan tidak sah.</t>
        </is>
      </c>
      <c r="S77" s="13" t="inlineStr">
        <is>
          <t>Sedang</t>
        </is>
      </c>
      <c r="T77" s="14" t="n">
        <v>46387</v>
      </c>
      <c r="U77" s="13" t="n"/>
      <c r="V77" s="14" t="n"/>
      <c r="W77" s="31">
        <f>IF(G77="Belum ditentukan","Tentukan relevansi",IF(G77="Tidak berlaku",IF(OR(H77="",U77="",V77=""),"Lengkapi justifikasi","Tercatat"),IF(OR(J77="",L77="",N77="",O77="",P77=""),"Lengkapi assessment",IF(AND(I77="Diterapkan",J77="Lengkap",O77="Memadai",P77="Efektif",OR(K77="",U77="",V77="")),"Lengkapi bukti/reviewer","Tercatat"))))</f>
        <v/>
      </c>
      <c r="X77" s="31">
        <f>IF(G77="Belum ditentukan","Belum dinilai",IF(G77="Tidak berlaku",IF(W77="Tercatat","Dikecualikan","Belum siap"),IF(AND(I77="Diterapkan",J77="Lengkap",O77="Memadai",P77="Efektif",W77="Tercatat"),"Siap","Belum siap")))</f>
        <v/>
      </c>
      <c r="Y77" s="31">
        <f>IF(G77="Belum ditentukan","Belum dijadwalkan",IF(N77="","Tanpa jadwal",IF(N77&lt;'Master Data'!$C$9,"Review lewat","Dalam jadwal")))</f>
        <v/>
      </c>
      <c r="Z77" s="31">
        <f>IF(X77="Belum dinilai","Belum dinilai",IF(AND(OR(X77="Siap",X77="Dikecualikan"),Y77="Dalam jadwal"),"Tidak","Ya"))</f>
        <v/>
      </c>
    </row>
    <row r="78" ht="63.95" customHeight="1">
      <c r="A78" s="1" t="n"/>
      <c r="B78" s="12" t="inlineStr">
        <is>
          <t>A.8.13</t>
        </is>
      </c>
      <c r="C78" s="32" t="inlineStr">
        <is>
          <t>Technological</t>
        </is>
      </c>
      <c r="D78" s="32" t="inlineStr">
        <is>
          <t>Pencadangan informasi</t>
        </is>
      </c>
      <c r="E78" s="32" t="inlineStr">
        <is>
          <t>Backup sesuai kebutuhan, terlindungi, dan diuji pemulihannya</t>
        </is>
      </c>
      <c r="F78" s="32" t="inlineStr">
        <is>
          <t>Backup policy, job log, restore test, encryption, retention</t>
        </is>
      </c>
      <c r="G78" s="13" t="inlineStr">
        <is>
          <t>Berlaku</t>
        </is>
      </c>
      <c r="H78" s="13" t="inlineStr">
        <is>
          <t>Kontrol A.8.13 relevan dan wajib diterapkan pada platform operasional auditsphere.app.</t>
        </is>
      </c>
      <c r="I78" s="13" t="inlineStr">
        <is>
          <t>Diterapkan</t>
        </is>
      </c>
      <c r="J78" s="13" t="inlineStr">
        <is>
          <t>Lengkap</t>
        </is>
      </c>
      <c r="K78" s="13" t="inlineStr">
        <is>
          <t>TEC-Postgres-DailyBackup</t>
        </is>
      </c>
      <c r="L78" s="13" t="inlineStr">
        <is>
          <t>DevOps Lead</t>
        </is>
      </c>
      <c r="M78" s="14" t="n">
        <v>46302</v>
      </c>
      <c r="N78" s="14" t="n">
        <v>46477</v>
      </c>
      <c r="O78" s="13" t="inlineStr">
        <is>
          <t>Memadai</t>
        </is>
      </c>
      <c r="P78" s="13" t="inlineStr">
        <is>
          <t>Efektif</t>
        </is>
      </c>
      <c r="Q78" s="13" t="inlineStr">
        <is>
          <t>Backup harian snapshot basis data otomatis tersimpan di secondary directory dan diuji berkala.</t>
        </is>
      </c>
      <c r="R78" s="13" t="inlineStr">
        <is>
          <t>Pertahankan efektivitas kontrol dan lakukan review operasional berkala</t>
        </is>
      </c>
      <c r="S78" s="13" t="inlineStr">
        <is>
          <t>Sedang</t>
        </is>
      </c>
      <c r="T78" s="14" t="n">
        <v>46477</v>
      </c>
      <c r="U78" s="13" t="inlineStr">
        <is>
          <t>Dimas (Group Vision)</t>
        </is>
      </c>
      <c r="V78" s="14" t="n">
        <v>46302</v>
      </c>
      <c r="W78" s="31">
        <f>IF(G78="Belum ditentukan","Tentukan relevansi",IF(G78="Tidak berlaku",IF(OR(H78="",U78="",V78=""),"Lengkapi justifikasi","Tercatat"),IF(OR(J78="",L78="",N78="",O78="",P78=""),"Lengkapi assessment",IF(AND(I78="Diterapkan",J78="Lengkap",O78="Memadai",P78="Efektif",OR(K78="",U78="",V78="")),"Lengkapi bukti/reviewer","Tercatat"))))</f>
        <v/>
      </c>
      <c r="X78" s="31">
        <f>IF(G78="Belum ditentukan","Belum dinilai",IF(G78="Tidak berlaku",IF(W78="Tercatat","Dikecualikan","Belum siap"),IF(AND(I78="Diterapkan",J78="Lengkap",O78="Memadai",P78="Efektif",W78="Tercatat"),"Siap","Belum siap")))</f>
        <v/>
      </c>
      <c r="Y78" s="31">
        <f>IF(G78="Belum ditentukan","Belum dijadwalkan",IF(N78="","Tanpa jadwal",IF(N78&lt;'Master Data'!$C$9,"Review lewat","Dalam jadwal")))</f>
        <v/>
      </c>
      <c r="Z78" s="31">
        <f>IF(X78="Belum dinilai","Belum dinilai",IF(AND(OR(X78="Siap",X78="Dikecualikan"),Y78="Dalam jadwal"),"Tidak","Ya"))</f>
        <v/>
      </c>
    </row>
    <row r="79" ht="63.95" customHeight="1">
      <c r="A79" s="1" t="n"/>
      <c r="B79" s="12" t="inlineStr">
        <is>
          <t>A.8.14</t>
        </is>
      </c>
      <c r="C79" s="32" t="inlineStr">
        <is>
          <t>Technological</t>
        </is>
      </c>
      <c r="D79" s="32" t="inlineStr">
        <is>
          <t>Redundansi fasilitas pemrosesan informasi</t>
        </is>
      </c>
      <c r="E79" s="32" t="inlineStr">
        <is>
          <t>Redundansi mendukung kebutuhan ketersediaan layanan</t>
        </is>
      </c>
      <c r="F79" s="32" t="inlineStr">
        <is>
          <t>Architecture, failover config, test result, capacity evidence</t>
        </is>
      </c>
      <c r="G79" s="13" t="inlineStr">
        <is>
          <t>Berlaku</t>
        </is>
      </c>
      <c r="H79" s="13" t="inlineStr">
        <is>
          <t>Menjamin ketersediaan tinggi (High Availability) sistem saat terjadi gangguan node fisik.</t>
        </is>
      </c>
      <c r="I79" s="13" t="n"/>
      <c r="J79" s="13" t="n"/>
      <c r="K79" s="13" t="n"/>
      <c r="L79" s="13" t="inlineStr">
        <is>
          <t>Infrastructure Lead</t>
        </is>
      </c>
      <c r="M79" s="14" t="n">
        <v>46302</v>
      </c>
      <c r="N79" s="14" t="n">
        <v>46387</v>
      </c>
      <c r="O79" s="13" t="n"/>
      <c r="P79" s="13" t="n"/>
      <c r="Q79" s="13" t="inlineStr">
        <is>
          <t>Infrastruktur produksi saat ini masih berjalan di single-node VPS (belum multi-node HA cluster).</t>
        </is>
      </c>
      <c r="R79" s="13" t="inlineStr">
        <is>
          <t>Rekomendasi: Implementasikan arsitektur Patroni PostgreSQL HA Cluster (1 Primary + 2 Standby Replicas) dan redundansi load balancer sesuai roadmap Bab 12.3.</t>
        </is>
      </c>
      <c r="S79" s="13" t="inlineStr">
        <is>
          <t>Tinggi</t>
        </is>
      </c>
      <c r="T79" s="14" t="n">
        <v>46387</v>
      </c>
      <c r="U79" s="13" t="n"/>
      <c r="V79" s="14" t="n"/>
      <c r="W79" s="31">
        <f>IF(G79="Belum ditentukan","Tentukan relevansi",IF(G79="Tidak berlaku",IF(OR(H79="",U79="",V79=""),"Lengkapi justifikasi","Tercatat"),IF(OR(J79="",L79="",N79="",O79="",P79=""),"Lengkapi assessment",IF(AND(I79="Diterapkan",J79="Lengkap",O79="Memadai",P79="Efektif",OR(K79="",U79="",V79="")),"Lengkapi bukti/reviewer","Tercatat"))))</f>
        <v/>
      </c>
      <c r="X79" s="31">
        <f>IF(G79="Belum ditentukan","Belum dinilai",IF(G79="Tidak berlaku",IF(W79="Tercatat","Dikecualikan","Belum siap"),IF(AND(I79="Diterapkan",J79="Lengkap",O79="Memadai",P79="Efektif",W79="Tercatat"),"Siap","Belum siap")))</f>
        <v/>
      </c>
      <c r="Y79" s="31">
        <f>IF(G79="Belum ditentukan","Belum dijadwalkan",IF(N79="","Tanpa jadwal",IF(N79&lt;'Master Data'!$C$9,"Review lewat","Dalam jadwal")))</f>
        <v/>
      </c>
      <c r="Z79" s="31">
        <f>IF(X79="Belum dinilai","Belum dinilai",IF(AND(OR(X79="Siap",X79="Dikecualikan"),Y79="Dalam jadwal"),"Tidak","Ya"))</f>
        <v/>
      </c>
    </row>
    <row r="80" ht="63.95" customHeight="1">
      <c r="A80" s="1" t="n"/>
      <c r="B80" s="12" t="inlineStr">
        <is>
          <t>A.8.15</t>
        </is>
      </c>
      <c r="C80" s="32" t="inlineStr">
        <is>
          <t>Technological</t>
        </is>
      </c>
      <c r="D80" s="32" t="inlineStr">
        <is>
          <t>Logging</t>
        </is>
      </c>
      <c r="E80" s="32" t="inlineStr">
        <is>
          <t>Log aktivitas penting dibuat, dilindungi, dan disimpan</t>
        </is>
      </c>
      <c r="F80" s="32" t="inlineStr">
        <is>
          <t>Logging standard, SIEM source list, retention, sample log</t>
        </is>
      </c>
      <c r="G80" s="13" t="inlineStr">
        <is>
          <t>Berlaku</t>
        </is>
      </c>
      <c r="H80" s="13" t="inlineStr">
        <is>
          <t>Kontrol A.8.15 relevan dan wajib diterapkan pada platform operasional auditsphere.app.</t>
        </is>
      </c>
      <c r="I80" s="13" t="inlineStr">
        <is>
          <t>Diterapkan</t>
        </is>
      </c>
      <c r="J80" s="13" t="inlineStr">
        <is>
          <t>Lengkap</t>
        </is>
      </c>
      <c r="K80" s="13" t="inlineStr">
        <is>
          <t>SRC-backend/auth-service/pkg/kafka</t>
        </is>
      </c>
      <c r="L80" s="13" t="inlineStr">
        <is>
          <t>Engineering Lead</t>
        </is>
      </c>
      <c r="M80" s="14" t="n">
        <v>46302</v>
      </c>
      <c r="N80" s="14" t="n">
        <v>46477</v>
      </c>
      <c r="O80" s="13" t="inlineStr">
        <is>
          <t>Memadai</t>
        </is>
      </c>
      <c r="P80" s="13" t="inlineStr">
        <is>
          <t>Efektif</t>
        </is>
      </c>
      <c r="Q80" s="13" t="inlineStr">
        <is>
          <t>Audit logging terstruktur mencatat timestamp, user ID, aksi, dan SHA-256 event checksum.</t>
        </is>
      </c>
      <c r="R80" s="13" t="inlineStr">
        <is>
          <t>Pertahankan efektivitas kontrol dan lakukan review operasional berkala</t>
        </is>
      </c>
      <c r="S80" s="13" t="inlineStr">
        <is>
          <t>Sedang</t>
        </is>
      </c>
      <c r="T80" s="14" t="n">
        <v>46477</v>
      </c>
      <c r="U80" s="13" t="inlineStr">
        <is>
          <t>Dimas (Group Vision)</t>
        </is>
      </c>
      <c r="V80" s="14" t="n">
        <v>46302</v>
      </c>
      <c r="W80" s="31">
        <f>IF(G80="Belum ditentukan","Tentukan relevansi",IF(G80="Tidak berlaku",IF(OR(H80="",U80="",V80=""),"Lengkapi justifikasi","Tercatat"),IF(OR(J80="",L80="",N80="",O80="",P80=""),"Lengkapi assessment",IF(AND(I80="Diterapkan",J80="Lengkap",O80="Memadai",P80="Efektif",OR(K80="",U80="",V80="")),"Lengkapi bukti/reviewer","Tercatat"))))</f>
        <v/>
      </c>
      <c r="X80" s="31">
        <f>IF(G80="Belum ditentukan","Belum dinilai",IF(G80="Tidak berlaku",IF(W80="Tercatat","Dikecualikan","Belum siap"),IF(AND(I80="Diterapkan",J80="Lengkap",O80="Memadai",P80="Efektif",W80="Tercatat"),"Siap","Belum siap")))</f>
        <v/>
      </c>
      <c r="Y80" s="31">
        <f>IF(G80="Belum ditentukan","Belum dijadwalkan",IF(N80="","Tanpa jadwal",IF(N80&lt;'Master Data'!$C$9,"Review lewat","Dalam jadwal")))</f>
        <v/>
      </c>
      <c r="Z80" s="31">
        <f>IF(X80="Belum dinilai","Belum dinilai",IF(AND(OR(X80="Siap",X80="Dikecualikan"),Y80="Dalam jadwal"),"Tidak","Ya"))</f>
        <v/>
      </c>
    </row>
    <row r="81" ht="63.95" customHeight="1">
      <c r="A81" s="1" t="n"/>
      <c r="B81" s="12" t="inlineStr">
        <is>
          <t>A.8.16</t>
        </is>
      </c>
      <c r="C81" s="32" t="inlineStr">
        <is>
          <t>Technological</t>
        </is>
      </c>
      <c r="D81" s="32" t="inlineStr">
        <is>
          <t>Aktivitas pemantauan</t>
        </is>
      </c>
      <c r="E81" s="32" t="inlineStr">
        <is>
          <t>Aktivitas sistem dipantau dan anomali ditindaklanjuti</t>
        </is>
      </c>
      <c r="F81" s="32" t="inlineStr">
        <is>
          <t>Monitoring dashboard, alert rule, ticket, escalation record</t>
        </is>
      </c>
      <c r="G81" s="13" t="inlineStr">
        <is>
          <t>Berlaku</t>
        </is>
      </c>
      <c r="H81" s="13" t="inlineStr">
        <is>
          <t>Kontrol A.8.16 relevan dan wajib diterapkan pada platform operasional auditsphere.app.</t>
        </is>
      </c>
      <c r="I81" s="13" t="inlineStr">
        <is>
          <t>Diterapkan</t>
        </is>
      </c>
      <c r="J81" s="13" t="inlineStr">
        <is>
          <t>Lengkap</t>
        </is>
      </c>
      <c r="K81" s="13" t="inlineStr">
        <is>
          <t>TEC-Kong-Prometheus-Plugin</t>
        </is>
      </c>
      <c r="L81" s="13" t="inlineStr">
        <is>
          <t>DevOps Lead</t>
        </is>
      </c>
      <c r="M81" s="14" t="n">
        <v>46302</v>
      </c>
      <c r="N81" s="14" t="n">
        <v>46477</v>
      </c>
      <c r="O81" s="13" t="inlineStr">
        <is>
          <t>Memadai</t>
        </is>
      </c>
      <c r="P81" s="13" t="inlineStr">
        <is>
          <t>Efektif</t>
        </is>
      </c>
      <c r="Q81" s="13" t="inlineStr">
        <is>
          <t>Monitoring telemetri real-time melalui plugin Prometheus pada Kong Gateway (latency &amp; HTTP status).</t>
        </is>
      </c>
      <c r="R81" s="13" t="inlineStr">
        <is>
          <t>Pertahankan efektivitas kontrol dan lakukan review operasional berkala</t>
        </is>
      </c>
      <c r="S81" s="13" t="inlineStr">
        <is>
          <t>Sedang</t>
        </is>
      </c>
      <c r="T81" s="14" t="n">
        <v>46477</v>
      </c>
      <c r="U81" s="13" t="inlineStr">
        <is>
          <t>Dimas (Group Vision)</t>
        </is>
      </c>
      <c r="V81" s="14" t="n">
        <v>46302</v>
      </c>
      <c r="W81" s="31">
        <f>IF(G81="Belum ditentukan","Tentukan relevansi",IF(G81="Tidak berlaku",IF(OR(H81="",U81="",V81=""),"Lengkapi justifikasi","Tercatat"),IF(OR(J81="",L81="",N81="",O81="",P81=""),"Lengkapi assessment",IF(AND(I81="Diterapkan",J81="Lengkap",O81="Memadai",P81="Efektif",OR(K81="",U81="",V81="")),"Lengkapi bukti/reviewer","Tercatat"))))</f>
        <v/>
      </c>
      <c r="X81" s="31">
        <f>IF(G81="Belum ditentukan","Belum dinilai",IF(G81="Tidak berlaku",IF(W81="Tercatat","Dikecualikan","Belum siap"),IF(AND(I81="Diterapkan",J81="Lengkap",O81="Memadai",P81="Efektif",W81="Tercatat"),"Siap","Belum siap")))</f>
        <v/>
      </c>
      <c r="Y81" s="31">
        <f>IF(G81="Belum ditentukan","Belum dijadwalkan",IF(N81="","Tanpa jadwal",IF(N81&lt;'Master Data'!$C$9,"Review lewat","Dalam jadwal")))</f>
        <v/>
      </c>
      <c r="Z81" s="31">
        <f>IF(X81="Belum dinilai","Belum dinilai",IF(AND(OR(X81="Siap",X81="Dikecualikan"),Y81="Dalam jadwal"),"Tidak","Ya"))</f>
        <v/>
      </c>
    </row>
    <row r="82" ht="63.95" customHeight="1">
      <c r="A82" s="1" t="n"/>
      <c r="B82" s="12" t="inlineStr">
        <is>
          <t>A.8.17</t>
        </is>
      </c>
      <c r="C82" s="32" t="inlineStr">
        <is>
          <t>Technological</t>
        </is>
      </c>
      <c r="D82" s="32" t="inlineStr">
        <is>
          <t>Sinkronisasi waktu</t>
        </is>
      </c>
      <c r="E82" s="32" t="inlineStr">
        <is>
          <t>Sistem menggunakan sumber waktu yang disetujui dan konsisten</t>
        </is>
      </c>
      <c r="F82" s="32" t="inlineStr">
        <is>
          <t>NTP config, source list, drift alert, validation result</t>
        </is>
      </c>
      <c r="G82" s="13" t="inlineStr">
        <is>
          <t>Berlaku</t>
        </is>
      </c>
      <c r="H82" s="13" t="inlineStr">
        <is>
          <t>Kontrol A.8.17 relevan dan wajib diterapkan pada platform operasional auditsphere.app.</t>
        </is>
      </c>
      <c r="I82" s="13" t="inlineStr">
        <is>
          <t>Diterapkan</t>
        </is>
      </c>
      <c r="J82" s="13" t="inlineStr">
        <is>
          <t>Lengkap</t>
        </is>
      </c>
      <c r="K82" s="13" t="inlineStr">
        <is>
          <t>TEC-VPS-Systemd-Timesyncd</t>
        </is>
      </c>
      <c r="L82" s="13" t="inlineStr">
        <is>
          <t>DevOps Lead</t>
        </is>
      </c>
      <c r="M82" s="14" t="n">
        <v>46302</v>
      </c>
      <c r="N82" s="14" t="n">
        <v>46477</v>
      </c>
      <c r="O82" s="13" t="inlineStr">
        <is>
          <t>Memadai</t>
        </is>
      </c>
      <c r="P82" s="13" t="inlineStr">
        <is>
          <t>Efektif</t>
        </is>
      </c>
      <c r="Q82" s="13" t="inlineStr">
        <is>
          <t>Sinkronisasi waktu jaringan NTP terpusat aktif pada VPS host dan seluruh container Docker.</t>
        </is>
      </c>
      <c r="R82" s="13" t="inlineStr">
        <is>
          <t>Pertahankan efektivitas kontrol dan lakukan review operasional berkala</t>
        </is>
      </c>
      <c r="S82" s="13" t="inlineStr">
        <is>
          <t>Sedang</t>
        </is>
      </c>
      <c r="T82" s="14" t="n">
        <v>46477</v>
      </c>
      <c r="U82" s="13" t="inlineStr">
        <is>
          <t>Dimas (Group Vision)</t>
        </is>
      </c>
      <c r="V82" s="14" t="n">
        <v>46302</v>
      </c>
      <c r="W82" s="31">
        <f>IF(G82="Belum ditentukan","Tentukan relevansi",IF(G82="Tidak berlaku",IF(OR(H82="",U82="",V82=""),"Lengkapi justifikasi","Tercatat"),IF(OR(J82="",L82="",N82="",O82="",P82=""),"Lengkapi assessment",IF(AND(I82="Diterapkan",J82="Lengkap",O82="Memadai",P82="Efektif",OR(K82="",U82="",V82="")),"Lengkapi bukti/reviewer","Tercatat"))))</f>
        <v/>
      </c>
      <c r="X82" s="31">
        <f>IF(G82="Belum ditentukan","Belum dinilai",IF(G82="Tidak berlaku",IF(W82="Tercatat","Dikecualikan","Belum siap"),IF(AND(I82="Diterapkan",J82="Lengkap",O82="Memadai",P82="Efektif",W82="Tercatat"),"Siap","Belum siap")))</f>
        <v/>
      </c>
      <c r="Y82" s="31">
        <f>IF(G82="Belum ditentukan","Belum dijadwalkan",IF(N82="","Tanpa jadwal",IF(N82&lt;'Master Data'!$C$9,"Review lewat","Dalam jadwal")))</f>
        <v/>
      </c>
      <c r="Z82" s="31">
        <f>IF(X82="Belum dinilai","Belum dinilai",IF(AND(OR(X82="Siap",X82="Dikecualikan"),Y82="Dalam jadwal"),"Tidak","Ya"))</f>
        <v/>
      </c>
    </row>
    <row r="83" ht="63.95" customHeight="1">
      <c r="A83" s="1" t="n"/>
      <c r="B83" s="12" t="inlineStr">
        <is>
          <t>A.8.18</t>
        </is>
      </c>
      <c r="C83" s="32" t="inlineStr">
        <is>
          <t>Technological</t>
        </is>
      </c>
      <c r="D83" s="32" t="inlineStr">
        <is>
          <t>Program utilitas istimewa</t>
        </is>
      </c>
      <c r="E83" s="32" t="inlineStr">
        <is>
          <t>Utility yang dapat melewati kontrol dibatasi dan dicatat</t>
        </is>
      </c>
      <c r="F83" s="32" t="inlineStr">
        <is>
          <t>Utility inventory, access list, execution log, approval</t>
        </is>
      </c>
      <c r="G83" s="13" t="inlineStr">
        <is>
          <t>Berlaku</t>
        </is>
      </c>
      <c r="H83" s="13" t="inlineStr">
        <is>
          <t>Kontrol A.8.18 relevan dan wajib diterapkan pada platform operasional auditsphere.app.</t>
        </is>
      </c>
      <c r="I83" s="13" t="inlineStr">
        <is>
          <t>Diterapkan</t>
        </is>
      </c>
      <c r="J83" s="13" t="inlineStr">
        <is>
          <t>Lengkap</t>
        </is>
      </c>
      <c r="K83" s="13" t="inlineStr">
        <is>
          <t>TEC-Docker-Restricted-Cmd</t>
        </is>
      </c>
      <c r="L83" s="13" t="inlineStr">
        <is>
          <t>DevOps Lead</t>
        </is>
      </c>
      <c r="M83" s="14" t="n">
        <v>46302</v>
      </c>
      <c r="N83" s="14" t="n">
        <v>46477</v>
      </c>
      <c r="O83" s="13" t="inlineStr">
        <is>
          <t>Memadai</t>
        </is>
      </c>
      <c r="P83" s="13" t="inlineStr">
        <is>
          <t>Efektif</t>
        </is>
      </c>
      <c r="Q83" s="13" t="inlineStr">
        <is>
          <t>Utility sistem dan command eksekusi dibatasi hanya melalui binary terotentikasi di container.</t>
        </is>
      </c>
      <c r="R83" s="13" t="inlineStr">
        <is>
          <t>Pertahankan efektivitas kontrol dan lakukan review operasional berkala</t>
        </is>
      </c>
      <c r="S83" s="13" t="inlineStr">
        <is>
          <t>Sedang</t>
        </is>
      </c>
      <c r="T83" s="14" t="n">
        <v>46477</v>
      </c>
      <c r="U83" s="13" t="inlineStr">
        <is>
          <t>Dimas (Group Vision)</t>
        </is>
      </c>
      <c r="V83" s="14" t="n">
        <v>46302</v>
      </c>
      <c r="W83" s="31">
        <f>IF(G83="Belum ditentukan","Tentukan relevansi",IF(G83="Tidak berlaku",IF(OR(H83="",U83="",V83=""),"Lengkapi justifikasi","Tercatat"),IF(OR(J83="",L83="",N83="",O83="",P83=""),"Lengkapi assessment",IF(AND(I83="Diterapkan",J83="Lengkap",O83="Memadai",P83="Efektif",OR(K83="",U83="",V83="")),"Lengkapi bukti/reviewer","Tercatat"))))</f>
        <v/>
      </c>
      <c r="X83" s="31">
        <f>IF(G83="Belum ditentukan","Belum dinilai",IF(G83="Tidak berlaku",IF(W83="Tercatat","Dikecualikan","Belum siap"),IF(AND(I83="Diterapkan",J83="Lengkap",O83="Memadai",P83="Efektif",W83="Tercatat"),"Siap","Belum siap")))</f>
        <v/>
      </c>
      <c r="Y83" s="31">
        <f>IF(G83="Belum ditentukan","Belum dijadwalkan",IF(N83="","Tanpa jadwal",IF(N83&lt;'Master Data'!$C$9,"Review lewat","Dalam jadwal")))</f>
        <v/>
      </c>
      <c r="Z83" s="31">
        <f>IF(X83="Belum dinilai","Belum dinilai",IF(AND(OR(X83="Siap",X83="Dikecualikan"),Y83="Dalam jadwal"),"Tidak","Ya"))</f>
        <v/>
      </c>
    </row>
    <row r="84" ht="63.95" customHeight="1">
      <c r="A84" s="1" t="n"/>
      <c r="B84" s="12" t="inlineStr">
        <is>
          <t>A.8.19</t>
        </is>
      </c>
      <c r="C84" s="32" t="inlineStr">
        <is>
          <t>Technological</t>
        </is>
      </c>
      <c r="D84" s="32" t="inlineStr">
        <is>
          <t>Instalasi perangkat lunak pada sistem operasional</t>
        </is>
      </c>
      <c r="E84" s="32" t="inlineStr">
        <is>
          <t>Instalasi software pada produksi diotorisasi dan dikendalikan</t>
        </is>
      </c>
      <c r="F84" s="32" t="inlineStr">
        <is>
          <t>Allowlist, deployment record, approval, software inventory</t>
        </is>
      </c>
      <c r="G84" s="13" t="inlineStr">
        <is>
          <t>Berlaku</t>
        </is>
      </c>
      <c r="H84" s="13" t="inlineStr">
        <is>
          <t>Kontrol A.8.19 relevan dan wajib diterapkan pada platform operasional auditsphere.app.</t>
        </is>
      </c>
      <c r="I84" s="13" t="inlineStr">
        <is>
          <t>Diterapkan</t>
        </is>
      </c>
      <c r="J84" s="13" t="inlineStr">
        <is>
          <t>Lengkap</t>
        </is>
      </c>
      <c r="K84" s="13" t="inlineStr">
        <is>
          <t>SRC-deploy-prod.sh</t>
        </is>
      </c>
      <c r="L84" s="13" t="inlineStr">
        <is>
          <t>DevOps Lead</t>
        </is>
      </c>
      <c r="M84" s="14" t="n">
        <v>46302</v>
      </c>
      <c r="N84" s="14" t="n">
        <v>46477</v>
      </c>
      <c r="O84" s="13" t="inlineStr">
        <is>
          <t>Memadai</t>
        </is>
      </c>
      <c r="P84" s="13" t="inlineStr">
        <is>
          <t>Efektif</t>
        </is>
      </c>
      <c r="Q84" s="13" t="inlineStr">
        <is>
          <t>Instalasi software pada server produksi dikendalikan ketat melalui script deployment terkontrol.</t>
        </is>
      </c>
      <c r="R84" s="13" t="inlineStr">
        <is>
          <t>Pertahankan efektivitas kontrol dan lakukan review operasional berkala</t>
        </is>
      </c>
      <c r="S84" s="13" t="inlineStr">
        <is>
          <t>Sedang</t>
        </is>
      </c>
      <c r="T84" s="14" t="n">
        <v>46477</v>
      </c>
      <c r="U84" s="13" t="inlineStr">
        <is>
          <t>Dimas (Group Vision)</t>
        </is>
      </c>
      <c r="V84" s="14" t="n">
        <v>46302</v>
      </c>
      <c r="W84" s="31">
        <f>IF(G84="Belum ditentukan","Tentukan relevansi",IF(G84="Tidak berlaku",IF(OR(H84="",U84="",V84=""),"Lengkapi justifikasi","Tercatat"),IF(OR(J84="",L84="",N84="",O84="",P84=""),"Lengkapi assessment",IF(AND(I84="Diterapkan",J84="Lengkap",O84="Memadai",P84="Efektif",OR(K84="",U84="",V84="")),"Lengkapi bukti/reviewer","Tercatat"))))</f>
        <v/>
      </c>
      <c r="X84" s="31">
        <f>IF(G84="Belum ditentukan","Belum dinilai",IF(G84="Tidak berlaku",IF(W84="Tercatat","Dikecualikan","Belum siap"),IF(AND(I84="Diterapkan",J84="Lengkap",O84="Memadai",P84="Efektif",W84="Tercatat"),"Siap","Belum siap")))</f>
        <v/>
      </c>
      <c r="Y84" s="31">
        <f>IF(G84="Belum ditentukan","Belum dijadwalkan",IF(N84="","Tanpa jadwal",IF(N84&lt;'Master Data'!$C$9,"Review lewat","Dalam jadwal")))</f>
        <v/>
      </c>
      <c r="Z84" s="31">
        <f>IF(X84="Belum dinilai","Belum dinilai",IF(AND(OR(X84="Siap",X84="Dikecualikan"),Y84="Dalam jadwal"),"Tidak","Ya"))</f>
        <v/>
      </c>
    </row>
    <row r="85" ht="63.95" customHeight="1">
      <c r="A85" s="1" t="n"/>
      <c r="B85" s="12" t="inlineStr">
        <is>
          <t>A.8.20</t>
        </is>
      </c>
      <c r="C85" s="32" t="inlineStr">
        <is>
          <t>Technological</t>
        </is>
      </c>
      <c r="D85" s="32" t="inlineStr">
        <is>
          <t>Keamanan jaringan</t>
        </is>
      </c>
      <c r="E85" s="32" t="inlineStr">
        <is>
          <t>Jaringan dikelola dan dilindungi dari ancaman</t>
        </is>
      </c>
      <c r="F85" s="32" t="inlineStr">
        <is>
          <t>Network diagram, firewall rule, IDS/IPS report, review log</t>
        </is>
      </c>
      <c r="G85" s="13" t="inlineStr">
        <is>
          <t>Berlaku</t>
        </is>
      </c>
      <c r="H85" s="13" t="inlineStr">
        <is>
          <t>Kontrol A.8.20 relevan dan wajib diterapkan pada platform operasional auditsphere.app.</t>
        </is>
      </c>
      <c r="I85" s="13" t="inlineStr">
        <is>
          <t>Diterapkan</t>
        </is>
      </c>
      <c r="J85" s="13" t="inlineStr">
        <is>
          <t>Lengkap</t>
        </is>
      </c>
      <c r="K85" s="13" t="inlineStr">
        <is>
          <t>TEC-UFW-Firewall</t>
        </is>
      </c>
      <c r="L85" s="13" t="inlineStr">
        <is>
          <t>DevOps Lead</t>
        </is>
      </c>
      <c r="M85" s="14" t="n">
        <v>46302</v>
      </c>
      <c r="N85" s="14" t="n">
        <v>46477</v>
      </c>
      <c r="O85" s="13" t="inlineStr">
        <is>
          <t>Memadai</t>
        </is>
      </c>
      <c r="P85" s="13" t="inlineStr">
        <is>
          <t>Efektif</t>
        </is>
      </c>
      <c r="Q85" s="13" t="inlineStr">
        <is>
          <t>Firewall UFW menutup port internal publik; Cloudflare memitigasi serangan DDoS di gateway perimeter.</t>
        </is>
      </c>
      <c r="R85" s="13" t="inlineStr">
        <is>
          <t>Pertahankan efektivitas kontrol dan lakukan review operasional berkala</t>
        </is>
      </c>
      <c r="S85" s="13" t="inlineStr">
        <is>
          <t>Sedang</t>
        </is>
      </c>
      <c r="T85" s="14" t="n">
        <v>46477</v>
      </c>
      <c r="U85" s="13" t="inlineStr">
        <is>
          <t>Dimas (Group Vision)</t>
        </is>
      </c>
      <c r="V85" s="14" t="n">
        <v>46302</v>
      </c>
      <c r="W85" s="31">
        <f>IF(G85="Belum ditentukan","Tentukan relevansi",IF(G85="Tidak berlaku",IF(OR(H85="",U85="",V85=""),"Lengkapi justifikasi","Tercatat"),IF(OR(J85="",L85="",N85="",O85="",P85=""),"Lengkapi assessment",IF(AND(I85="Diterapkan",J85="Lengkap",O85="Memadai",P85="Efektif",OR(K85="",U85="",V85="")),"Lengkapi bukti/reviewer","Tercatat"))))</f>
        <v/>
      </c>
      <c r="X85" s="31">
        <f>IF(G85="Belum ditentukan","Belum dinilai",IF(G85="Tidak berlaku",IF(W85="Tercatat","Dikecualikan","Belum siap"),IF(AND(I85="Diterapkan",J85="Lengkap",O85="Memadai",P85="Efektif",W85="Tercatat"),"Siap","Belum siap")))</f>
        <v/>
      </c>
      <c r="Y85" s="31">
        <f>IF(G85="Belum ditentukan","Belum dijadwalkan",IF(N85="","Tanpa jadwal",IF(N85&lt;'Master Data'!$C$9,"Review lewat","Dalam jadwal")))</f>
        <v/>
      </c>
      <c r="Z85" s="31">
        <f>IF(X85="Belum dinilai","Belum dinilai",IF(AND(OR(X85="Siap",X85="Dikecualikan"),Y85="Dalam jadwal"),"Tidak","Ya"))</f>
        <v/>
      </c>
    </row>
    <row r="86" ht="63.95" customHeight="1">
      <c r="A86" s="1" t="n"/>
      <c r="B86" s="12" t="inlineStr">
        <is>
          <t>A.8.21</t>
        </is>
      </c>
      <c r="C86" s="32" t="inlineStr">
        <is>
          <t>Technological</t>
        </is>
      </c>
      <c r="D86" s="32" t="inlineStr">
        <is>
          <t>Keamanan layanan jaringan</t>
        </is>
      </c>
      <c r="E86" s="32" t="inlineStr">
        <is>
          <t>Persyaratan dan tingkat layanan keamanan jaringan ditetapkan</t>
        </is>
      </c>
      <c r="F86" s="32" t="inlineStr">
        <is>
          <t>Service catalogue, SLA, network security spec, monitoring</t>
        </is>
      </c>
      <c r="G86" s="13" t="inlineStr">
        <is>
          <t>Berlaku</t>
        </is>
      </c>
      <c r="H86" s="13" t="inlineStr">
        <is>
          <t>Kontrol A.8.21 relevan dan wajib diterapkan pada platform operasional auditsphere.app.</t>
        </is>
      </c>
      <c r="I86" s="13" t="inlineStr">
        <is>
          <t>Diterapkan</t>
        </is>
      </c>
      <c r="J86" s="13" t="inlineStr">
        <is>
          <t>Lengkap</t>
        </is>
      </c>
      <c r="K86" s="13" t="inlineStr">
        <is>
          <t>TEC-Cloudflare-Network-Security</t>
        </is>
      </c>
      <c r="L86" s="13" t="inlineStr">
        <is>
          <t>DevOps Lead</t>
        </is>
      </c>
      <c r="M86" s="14" t="n">
        <v>46302</v>
      </c>
      <c r="N86" s="14" t="n">
        <v>46477</v>
      </c>
      <c r="O86" s="13" t="inlineStr">
        <is>
          <t>Memadai</t>
        </is>
      </c>
      <c r="P86" s="13" t="inlineStr">
        <is>
          <t>Efektif</t>
        </is>
      </c>
      <c r="Q86" s="13" t="inlineStr">
        <is>
          <t>Tingkat layanan keamanan jaringan dijamin oleh Cloudflare CDN/WAF dan perjanjian SLA provider.</t>
        </is>
      </c>
      <c r="R86" s="13" t="inlineStr">
        <is>
          <t>Pertahankan efektivitas kontrol dan lakukan review operasional berkala</t>
        </is>
      </c>
      <c r="S86" s="13" t="inlineStr">
        <is>
          <t>Sedang</t>
        </is>
      </c>
      <c r="T86" s="14" t="n">
        <v>46477</v>
      </c>
      <c r="U86" s="13" t="inlineStr">
        <is>
          <t>Dimas (Group Vision)</t>
        </is>
      </c>
      <c r="V86" s="14" t="n">
        <v>46302</v>
      </c>
      <c r="W86" s="31">
        <f>IF(G86="Belum ditentukan","Tentukan relevansi",IF(G86="Tidak berlaku",IF(OR(H86="",U86="",V86=""),"Lengkapi justifikasi","Tercatat"),IF(OR(J86="",L86="",N86="",O86="",P86=""),"Lengkapi assessment",IF(AND(I86="Diterapkan",J86="Lengkap",O86="Memadai",P86="Efektif",OR(K86="",U86="",V86="")),"Lengkapi bukti/reviewer","Tercatat"))))</f>
        <v/>
      </c>
      <c r="X86" s="31">
        <f>IF(G86="Belum ditentukan","Belum dinilai",IF(G86="Tidak berlaku",IF(W86="Tercatat","Dikecualikan","Belum siap"),IF(AND(I86="Diterapkan",J86="Lengkap",O86="Memadai",P86="Efektif",W86="Tercatat"),"Siap","Belum siap")))</f>
        <v/>
      </c>
      <c r="Y86" s="31">
        <f>IF(G86="Belum ditentukan","Belum dijadwalkan",IF(N86="","Tanpa jadwal",IF(N86&lt;'Master Data'!$C$9,"Review lewat","Dalam jadwal")))</f>
        <v/>
      </c>
      <c r="Z86" s="31">
        <f>IF(X86="Belum dinilai","Belum dinilai",IF(AND(OR(X86="Siap",X86="Dikecualikan"),Y86="Dalam jadwal"),"Tidak","Ya"))</f>
        <v/>
      </c>
    </row>
    <row r="87" ht="63.95" customHeight="1">
      <c r="A87" s="1" t="n"/>
      <c r="B87" s="12" t="inlineStr">
        <is>
          <t>A.8.22</t>
        </is>
      </c>
      <c r="C87" s="32" t="inlineStr">
        <is>
          <t>Technological</t>
        </is>
      </c>
      <c r="D87" s="32" t="inlineStr">
        <is>
          <t>Segregasi jaringan</t>
        </is>
      </c>
      <c r="E87" s="32" t="inlineStr">
        <is>
          <t>Segmen jaringan dipisahkan sesuai risiko dan kebutuhan</t>
        </is>
      </c>
      <c r="F87" s="32" t="inlineStr">
        <is>
          <t>Segmentation diagram, VLAN/firewall config, test result</t>
        </is>
      </c>
      <c r="G87" s="13" t="inlineStr">
        <is>
          <t>Berlaku</t>
        </is>
      </c>
      <c r="H87" s="13" t="inlineStr">
        <is>
          <t>Kontrol A.8.22 relevan dan wajib diterapkan pada platform operasional auditsphere.app.</t>
        </is>
      </c>
      <c r="I87" s="13" t="inlineStr">
        <is>
          <t>Diterapkan</t>
        </is>
      </c>
      <c r="J87" s="13" t="inlineStr">
        <is>
          <t>Lengkap</t>
        </is>
      </c>
      <c r="K87" s="13" t="inlineStr">
        <is>
          <t>DOC-ISO-AS-001-Sec5.2</t>
        </is>
      </c>
      <c r="L87" s="13" t="inlineStr">
        <is>
          <t>Infrastructure Lead</t>
        </is>
      </c>
      <c r="M87" s="14" t="n">
        <v>46302</v>
      </c>
      <c r="N87" s="14" t="n">
        <v>46477</v>
      </c>
      <c r="O87" s="13" t="inlineStr">
        <is>
          <t>Memadai</t>
        </is>
      </c>
      <c r="P87" s="13" t="inlineStr">
        <is>
          <t>Efektif</t>
        </is>
      </c>
      <c r="Q87" s="13" t="inlineStr">
        <is>
          <t>Segregasi jaringan multi-tier: Ingress (Kong:8080/443), App Tier, dan Data Tier (DB/Redis terisolasi).</t>
        </is>
      </c>
      <c r="R87" s="13" t="inlineStr">
        <is>
          <t>Pertahankan efektivitas kontrol dan lakukan review operasional berkala</t>
        </is>
      </c>
      <c r="S87" s="13" t="inlineStr">
        <is>
          <t>Sedang</t>
        </is>
      </c>
      <c r="T87" s="14" t="n">
        <v>46477</v>
      </c>
      <c r="U87" s="13" t="inlineStr">
        <is>
          <t>Dimas (Group Vision)</t>
        </is>
      </c>
      <c r="V87" s="14" t="n">
        <v>46302</v>
      </c>
      <c r="W87" s="31">
        <f>IF(G87="Belum ditentukan","Tentukan relevansi",IF(G87="Tidak berlaku",IF(OR(H87="",U87="",V87=""),"Lengkapi justifikasi","Tercatat"),IF(OR(J87="",L87="",N87="",O87="",P87=""),"Lengkapi assessment",IF(AND(I87="Diterapkan",J87="Lengkap",O87="Memadai",P87="Efektif",OR(K87="",U87="",V87="")),"Lengkapi bukti/reviewer","Tercatat"))))</f>
        <v/>
      </c>
      <c r="X87" s="31">
        <f>IF(G87="Belum ditentukan","Belum dinilai",IF(G87="Tidak berlaku",IF(W87="Tercatat","Dikecualikan","Belum siap"),IF(AND(I87="Diterapkan",J87="Lengkap",O87="Memadai",P87="Efektif",W87="Tercatat"),"Siap","Belum siap")))</f>
        <v/>
      </c>
      <c r="Y87" s="31">
        <f>IF(G87="Belum ditentukan","Belum dijadwalkan",IF(N87="","Tanpa jadwal",IF(N87&lt;'Master Data'!$C$9,"Review lewat","Dalam jadwal")))</f>
        <v/>
      </c>
      <c r="Z87" s="31">
        <f>IF(X87="Belum dinilai","Belum dinilai",IF(AND(OR(X87="Siap",X87="Dikecualikan"),Y87="Dalam jadwal"),"Tidak","Ya"))</f>
        <v/>
      </c>
    </row>
    <row r="88" ht="63.95" customHeight="1">
      <c r="A88" s="1" t="n"/>
      <c r="B88" s="12" t="inlineStr">
        <is>
          <t>A.8.23</t>
        </is>
      </c>
      <c r="C88" s="32" t="inlineStr">
        <is>
          <t>Technological</t>
        </is>
      </c>
      <c r="D88" s="32" t="inlineStr">
        <is>
          <t>Penyaringan web</t>
        </is>
      </c>
      <c r="E88" s="32" t="inlineStr">
        <is>
          <t>Akses ke situs berbahaya atau tidak sesuai dikendalikan</t>
        </is>
      </c>
      <c r="F88" s="32" t="inlineStr">
        <is>
          <t>Web filter policy, block list, gateway report, exception log</t>
        </is>
      </c>
      <c r="G88" s="13" t="inlineStr">
        <is>
          <t>Berlaku</t>
        </is>
      </c>
      <c r="H88" s="13" t="inlineStr">
        <is>
          <t>Mencegah pergerakan lateral atau koneksi command-and-control jika container terkompromi.</t>
        </is>
      </c>
      <c r="I88" s="13" t="n"/>
      <c r="J88" s="13" t="n"/>
      <c r="K88" s="13" t="n"/>
      <c r="L88" s="13" t="inlineStr">
        <is>
          <t>DevOps Lead</t>
        </is>
      </c>
      <c r="M88" s="14" t="n">
        <v>46302</v>
      </c>
      <c r="N88" s="14" t="n">
        <v>46418</v>
      </c>
      <c r="O88" s="13" t="n"/>
      <c r="P88" s="13" t="n"/>
      <c r="Q88" s="13" t="inlineStr">
        <is>
          <t>Filtering outbound (egress) traffic dari kontainer backend ke internet publik belum dibatasi secara ketat.</t>
        </is>
      </c>
      <c r="R88" s="13" t="inlineStr">
        <is>
          <t>Rekomendasi: Konfigurasikan egress firewall UFW/Docker agar kontainer backend hanya dapat menghubungi tujuan yang di-whitelist (OpenAI API, Mail Relay).</t>
        </is>
      </c>
      <c r="S88" s="13" t="inlineStr">
        <is>
          <t>Sedang</t>
        </is>
      </c>
      <c r="T88" s="14" t="n">
        <v>46418</v>
      </c>
      <c r="U88" s="13" t="n"/>
      <c r="V88" s="14" t="n"/>
      <c r="W88" s="31">
        <f>IF(G88="Belum ditentukan","Tentukan relevansi",IF(G88="Tidak berlaku",IF(OR(H88="",U88="",V88=""),"Lengkapi justifikasi","Tercatat"),IF(OR(J88="",L88="",N88="",O88="",P88=""),"Lengkapi assessment",IF(AND(I88="Diterapkan",J88="Lengkap",O88="Memadai",P88="Efektif",OR(K88="",U88="",V88="")),"Lengkapi bukti/reviewer","Tercatat"))))</f>
        <v/>
      </c>
      <c r="X88" s="31">
        <f>IF(G88="Belum ditentukan","Belum dinilai",IF(G88="Tidak berlaku",IF(W88="Tercatat","Dikecualikan","Belum siap"),IF(AND(I88="Diterapkan",J88="Lengkap",O88="Memadai",P88="Efektif",W88="Tercatat"),"Siap","Belum siap")))</f>
        <v/>
      </c>
      <c r="Y88" s="31">
        <f>IF(G88="Belum ditentukan","Belum dijadwalkan",IF(N88="","Tanpa jadwal",IF(N88&lt;'Master Data'!$C$9,"Review lewat","Dalam jadwal")))</f>
        <v/>
      </c>
      <c r="Z88" s="31">
        <f>IF(X88="Belum dinilai","Belum dinilai",IF(AND(OR(X88="Siap",X88="Dikecualikan"),Y88="Dalam jadwal"),"Tidak","Ya"))</f>
        <v/>
      </c>
    </row>
    <row r="89" ht="63.95" customHeight="1">
      <c r="A89" s="1" t="n"/>
      <c r="B89" s="12" t="inlineStr">
        <is>
          <t>A.8.24</t>
        </is>
      </c>
      <c r="C89" s="32" t="inlineStr">
        <is>
          <t>Technological</t>
        </is>
      </c>
      <c r="D89" s="32" t="inlineStr">
        <is>
          <t>Penggunaan kriptografi</t>
        </is>
      </c>
      <c r="E89" s="32" t="inlineStr">
        <is>
          <t>Algoritma, kunci, dan penggunaan kriptografi dikelola</t>
        </is>
      </c>
      <c r="F89" s="32" t="inlineStr">
        <is>
          <t>Crypto policy, key inventory, KMS config, rotation log</t>
        </is>
      </c>
      <c r="G89" s="13" t="inlineStr">
        <is>
          <t>Berlaku</t>
        </is>
      </c>
      <c r="H89" s="13" t="inlineStr">
        <is>
          <t>Kontrol A.8.24 relevan dan wajib diterapkan pada platform operasional auditsphere.app.</t>
        </is>
      </c>
      <c r="I89" s="13" t="inlineStr">
        <is>
          <t>Diterapkan</t>
        </is>
      </c>
      <c r="J89" s="13" t="inlineStr">
        <is>
          <t>Lengkap</t>
        </is>
      </c>
      <c r="K89" s="13" t="inlineStr">
        <is>
          <t>SRC-backend/auth-service/pkg/utils/jwt.go</t>
        </is>
      </c>
      <c r="L89" s="13" t="inlineStr">
        <is>
          <t>Lead Developer</t>
        </is>
      </c>
      <c r="M89" s="14" t="n">
        <v>46302</v>
      </c>
      <c r="N89" s="14" t="n">
        <v>46477</v>
      </c>
      <c r="O89" s="13" t="inlineStr">
        <is>
          <t>Memadai</t>
        </is>
      </c>
      <c r="P89" s="13" t="inlineStr">
        <is>
          <t>Efektif</t>
        </is>
      </c>
      <c r="Q89" s="13" t="inlineStr">
        <is>
          <t>Penerapan kriptografi standar industri: TLS 1.3, bcrypt hashing, JWT signature, dan SHA-256.</t>
        </is>
      </c>
      <c r="R89" s="13" t="inlineStr">
        <is>
          <t>Pertahankan efektivitas kontrol dan lakukan review operasional berkala</t>
        </is>
      </c>
      <c r="S89" s="13" t="inlineStr">
        <is>
          <t>Sedang</t>
        </is>
      </c>
      <c r="T89" s="14" t="n">
        <v>46477</v>
      </c>
      <c r="U89" s="13" t="inlineStr">
        <is>
          <t>Dimas (Group Vision)</t>
        </is>
      </c>
      <c r="V89" s="14" t="n">
        <v>46302</v>
      </c>
      <c r="W89" s="31">
        <f>IF(G89="Belum ditentukan","Tentukan relevansi",IF(G89="Tidak berlaku",IF(OR(H89="",U89="",V89=""),"Lengkapi justifikasi","Tercatat"),IF(OR(J89="",L89="",N89="",O89="",P89=""),"Lengkapi assessment",IF(AND(I89="Diterapkan",J89="Lengkap",O89="Memadai",P89="Efektif",OR(K89="",U89="",V89="")),"Lengkapi bukti/reviewer","Tercatat"))))</f>
        <v/>
      </c>
      <c r="X89" s="31">
        <f>IF(G89="Belum ditentukan","Belum dinilai",IF(G89="Tidak berlaku",IF(W89="Tercatat","Dikecualikan","Belum siap"),IF(AND(I89="Diterapkan",J89="Lengkap",O89="Memadai",P89="Efektif",W89="Tercatat"),"Siap","Belum siap")))</f>
        <v/>
      </c>
      <c r="Y89" s="31">
        <f>IF(G89="Belum ditentukan","Belum dijadwalkan",IF(N89="","Tanpa jadwal",IF(N89&lt;'Master Data'!$C$9,"Review lewat","Dalam jadwal")))</f>
        <v/>
      </c>
      <c r="Z89" s="31">
        <f>IF(X89="Belum dinilai","Belum dinilai",IF(AND(OR(X89="Siap",X89="Dikecualikan"),Y89="Dalam jadwal"),"Tidak","Ya"))</f>
        <v/>
      </c>
    </row>
    <row r="90" ht="63.95" customHeight="1">
      <c r="A90" s="1" t="n"/>
      <c r="B90" s="12" t="inlineStr">
        <is>
          <t>A.8.25</t>
        </is>
      </c>
      <c r="C90" s="32" t="inlineStr">
        <is>
          <t>Technological</t>
        </is>
      </c>
      <c r="D90" s="32" t="inlineStr">
        <is>
          <t>Siklus hidup pengembangan yang aman</t>
        </is>
      </c>
      <c r="E90" s="32" t="inlineStr">
        <is>
          <t>Aktivitas keamanan terintegrasi pada seluruh SDLC</t>
        </is>
      </c>
      <c r="F90" s="32" t="inlineStr">
        <is>
          <t>Secure SDLC, security gates, threat model, release checklist</t>
        </is>
      </c>
      <c r="G90" s="13" t="inlineStr">
        <is>
          <t>Berlaku</t>
        </is>
      </c>
      <c r="H90" s="13" t="inlineStr">
        <is>
          <t>Kontrol A.8.25 relevan dan wajib diterapkan pada platform operasional auditsphere.app.</t>
        </is>
      </c>
      <c r="I90" s="13" t="inlineStr">
        <is>
          <t>Diterapkan</t>
        </is>
      </c>
      <c r="J90" s="13" t="inlineStr">
        <is>
          <t>Lengkap</t>
        </is>
      </c>
      <c r="K90" s="13" t="inlineStr">
        <is>
          <t>DOC-SCG-001-Secure-Coding-Guide</t>
        </is>
      </c>
      <c r="L90" s="13" t="inlineStr">
        <is>
          <t>QA Lead</t>
        </is>
      </c>
      <c r="M90" s="14" t="n">
        <v>46302</v>
      </c>
      <c r="N90" s="14" t="n">
        <v>46477</v>
      </c>
      <c r="O90" s="13" t="inlineStr">
        <is>
          <t>Memadai</t>
        </is>
      </c>
      <c r="P90" s="13" t="inlineStr">
        <is>
          <t>Efektif</t>
        </is>
      </c>
      <c r="Q90" s="13" t="inlineStr">
        <is>
          <t>Secure Software Development Lifecycle diterapkan dengan peninjauan kode dan QA Remediation.</t>
        </is>
      </c>
      <c r="R90" s="13" t="inlineStr">
        <is>
          <t>Pertahankan efektivitas kontrol dan lakukan review operasional berkala</t>
        </is>
      </c>
      <c r="S90" s="13" t="inlineStr">
        <is>
          <t>Sedang</t>
        </is>
      </c>
      <c r="T90" s="14" t="n">
        <v>46477</v>
      </c>
      <c r="U90" s="13" t="inlineStr">
        <is>
          <t>Dimas (Group Vision)</t>
        </is>
      </c>
      <c r="V90" s="14" t="n">
        <v>46302</v>
      </c>
      <c r="W90" s="31">
        <f>IF(G90="Belum ditentukan","Tentukan relevansi",IF(G90="Tidak berlaku",IF(OR(H90="",U90="",V90=""),"Lengkapi justifikasi","Tercatat"),IF(OR(J90="",L90="",N90="",O90="",P90=""),"Lengkapi assessment",IF(AND(I90="Diterapkan",J90="Lengkap",O90="Memadai",P90="Efektif",OR(K90="",U90="",V90="")),"Lengkapi bukti/reviewer","Tercatat"))))</f>
        <v/>
      </c>
      <c r="X90" s="31">
        <f>IF(G90="Belum ditentukan","Belum dinilai",IF(G90="Tidak berlaku",IF(W90="Tercatat","Dikecualikan","Belum siap"),IF(AND(I90="Diterapkan",J90="Lengkap",O90="Memadai",P90="Efektif",W90="Tercatat"),"Siap","Belum siap")))</f>
        <v/>
      </c>
      <c r="Y90" s="31">
        <f>IF(G90="Belum ditentukan","Belum dijadwalkan",IF(N90="","Tanpa jadwal",IF(N90&lt;'Master Data'!$C$9,"Review lewat","Dalam jadwal")))</f>
        <v/>
      </c>
      <c r="Z90" s="31">
        <f>IF(X90="Belum dinilai","Belum dinilai",IF(AND(OR(X90="Siap",X90="Dikecualikan"),Y90="Dalam jadwal"),"Tidak","Ya"))</f>
        <v/>
      </c>
    </row>
    <row r="91" ht="63.95" customHeight="1">
      <c r="A91" s="1" t="n"/>
      <c r="B91" s="12" t="inlineStr">
        <is>
          <t>A.8.26</t>
        </is>
      </c>
      <c r="C91" s="32" t="inlineStr">
        <is>
          <t>Technological</t>
        </is>
      </c>
      <c r="D91" s="32" t="inlineStr">
        <is>
          <t>Persyaratan keamanan aplikasi</t>
        </is>
      </c>
      <c r="E91" s="32" t="inlineStr">
        <is>
          <t>Security requirements ditentukan dan disetujui sebelum pengembangan</t>
        </is>
      </c>
      <c r="F91" s="32" t="inlineStr">
        <is>
          <t>Requirement document, acceptance criteria, risk review</t>
        </is>
      </c>
      <c r="G91" s="13" t="inlineStr">
        <is>
          <t>Berlaku</t>
        </is>
      </c>
      <c r="H91" s="13" t="inlineStr">
        <is>
          <t>Kontrol A.8.26 relevan dan wajib diterapkan pada platform operasional auditsphere.app.</t>
        </is>
      </c>
      <c r="I91" s="13" t="inlineStr">
        <is>
          <t>Diterapkan</t>
        </is>
      </c>
      <c r="J91" s="13" t="inlineStr">
        <is>
          <t>Lengkap</t>
        </is>
      </c>
      <c r="K91" s="13" t="inlineStr">
        <is>
          <t>DOC-requirements.MD</t>
        </is>
      </c>
      <c r="L91" s="13" t="inlineStr">
        <is>
          <t>Tech Lead AIFL</t>
        </is>
      </c>
      <c r="M91" s="14" t="n">
        <v>46302</v>
      </c>
      <c r="N91" s="14" t="n">
        <v>46477</v>
      </c>
      <c r="O91" s="13" t="inlineStr">
        <is>
          <t>Memadai</t>
        </is>
      </c>
      <c r="P91" s="13" t="inlineStr">
        <is>
          <t>Efektif</t>
        </is>
      </c>
      <c r="Q91" s="13" t="inlineStr">
        <is>
          <t>Kebutuhan keamanan aplikasi didefinisikan secara eksplisit sebelum sprint implementasi fitur.</t>
        </is>
      </c>
      <c r="R91" s="13" t="inlineStr">
        <is>
          <t>Pertahankan efektivitas kontrol dan lakukan review operasional berkala</t>
        </is>
      </c>
      <c r="S91" s="13" t="inlineStr">
        <is>
          <t>Sedang</t>
        </is>
      </c>
      <c r="T91" s="14" t="n">
        <v>46477</v>
      </c>
      <c r="U91" s="13" t="inlineStr">
        <is>
          <t>Dimas (Group Vision)</t>
        </is>
      </c>
      <c r="V91" s="14" t="n">
        <v>46302</v>
      </c>
      <c r="W91" s="31">
        <f>IF(G91="Belum ditentukan","Tentukan relevansi",IF(G91="Tidak berlaku",IF(OR(H91="",U91="",V91=""),"Lengkapi justifikasi","Tercatat"),IF(OR(J91="",L91="",N91="",O91="",P91=""),"Lengkapi assessment",IF(AND(I91="Diterapkan",J91="Lengkap",O91="Memadai",P91="Efektif",OR(K91="",U91="",V91="")),"Lengkapi bukti/reviewer","Tercatat"))))</f>
        <v/>
      </c>
      <c r="X91" s="31">
        <f>IF(G91="Belum ditentukan","Belum dinilai",IF(G91="Tidak berlaku",IF(W91="Tercatat","Dikecualikan","Belum siap"),IF(AND(I91="Diterapkan",J91="Lengkap",O91="Memadai",P91="Efektif",W91="Tercatat"),"Siap","Belum siap")))</f>
        <v/>
      </c>
      <c r="Y91" s="31">
        <f>IF(G91="Belum ditentukan","Belum dijadwalkan",IF(N91="","Tanpa jadwal",IF(N91&lt;'Master Data'!$C$9,"Review lewat","Dalam jadwal")))</f>
        <v/>
      </c>
      <c r="Z91" s="31">
        <f>IF(X91="Belum dinilai","Belum dinilai",IF(AND(OR(X91="Siap",X91="Dikecualikan"),Y91="Dalam jadwal"),"Tidak","Ya"))</f>
        <v/>
      </c>
    </row>
    <row r="92" ht="63.95" customHeight="1">
      <c r="A92" s="1" t="n"/>
      <c r="B92" s="12" t="inlineStr">
        <is>
          <t>A.8.27</t>
        </is>
      </c>
      <c r="C92" s="32" t="inlineStr">
        <is>
          <t>Technological</t>
        </is>
      </c>
      <c r="D92" s="32" t="inlineStr">
        <is>
          <t>Arsitektur dan prinsip rekayasa sistem aman</t>
        </is>
      </c>
      <c r="E92" s="32" t="inlineStr">
        <is>
          <t>Prinsip desain aman diterapkan dan direview</t>
        </is>
      </c>
      <c r="F92" s="32" t="inlineStr">
        <is>
          <t>Architecture standard, design review, threat model, approval</t>
        </is>
      </c>
      <c r="G92" s="13" t="inlineStr">
        <is>
          <t>Berlaku</t>
        </is>
      </c>
      <c r="H92" s="13" t="inlineStr">
        <is>
          <t>Kontrol A.8.27 relevan dan wajib diterapkan pada platform operasional auditsphere.app.</t>
        </is>
      </c>
      <c r="I92" s="13" t="inlineStr">
        <is>
          <t>Diterapkan</t>
        </is>
      </c>
      <c r="J92" s="13" t="inlineStr">
        <is>
          <t>Lengkap</t>
        </is>
      </c>
      <c r="K92" s="13" t="inlineStr">
        <is>
          <t>DOC-SARC-001_Security_Architecture</t>
        </is>
      </c>
      <c r="L92" s="13" t="inlineStr">
        <is>
          <t>Security Architect</t>
        </is>
      </c>
      <c r="M92" s="14" t="n">
        <v>46302</v>
      </c>
      <c r="N92" s="14" t="n">
        <v>46477</v>
      </c>
      <c r="O92" s="13" t="inlineStr">
        <is>
          <t>Memadai</t>
        </is>
      </c>
      <c r="P92" s="13" t="inlineStr">
        <is>
          <t>Efektif</t>
        </is>
      </c>
      <c r="Q92" s="13" t="inlineStr">
        <is>
          <t>Prinsip arsitektur Security-by-Design dan Policy Enforcement Point diterapkan pada gateway.</t>
        </is>
      </c>
      <c r="R92" s="13" t="inlineStr">
        <is>
          <t>Pertahankan efektivitas kontrol dan lakukan review operasional berkala</t>
        </is>
      </c>
      <c r="S92" s="13" t="inlineStr">
        <is>
          <t>Sedang</t>
        </is>
      </c>
      <c r="T92" s="14" t="n">
        <v>46477</v>
      </c>
      <c r="U92" s="13" t="inlineStr">
        <is>
          <t>Dimas (Group Vision)</t>
        </is>
      </c>
      <c r="V92" s="14" t="n">
        <v>46302</v>
      </c>
      <c r="W92" s="31">
        <f>IF(G92="Belum ditentukan","Tentukan relevansi",IF(G92="Tidak berlaku",IF(OR(H92="",U92="",V92=""),"Lengkapi justifikasi","Tercatat"),IF(OR(J92="",L92="",N92="",O92="",P92=""),"Lengkapi assessment",IF(AND(I92="Diterapkan",J92="Lengkap",O92="Memadai",P92="Efektif",OR(K92="",U92="",V92="")),"Lengkapi bukti/reviewer","Tercatat"))))</f>
        <v/>
      </c>
      <c r="X92" s="31">
        <f>IF(G92="Belum ditentukan","Belum dinilai",IF(G92="Tidak berlaku",IF(W92="Tercatat","Dikecualikan","Belum siap"),IF(AND(I92="Diterapkan",J92="Lengkap",O92="Memadai",P92="Efektif",W92="Tercatat"),"Siap","Belum siap")))</f>
        <v/>
      </c>
      <c r="Y92" s="31">
        <f>IF(G92="Belum ditentukan","Belum dijadwalkan",IF(N92="","Tanpa jadwal",IF(N92&lt;'Master Data'!$C$9,"Review lewat","Dalam jadwal")))</f>
        <v/>
      </c>
      <c r="Z92" s="31">
        <f>IF(X92="Belum dinilai","Belum dinilai",IF(AND(OR(X92="Siap",X92="Dikecualikan"),Y92="Dalam jadwal"),"Tidak","Ya"))</f>
        <v/>
      </c>
    </row>
    <row r="93" ht="63.95" customHeight="1">
      <c r="A93" s="1" t="n"/>
      <c r="B93" s="12" t="inlineStr">
        <is>
          <t>A.8.28</t>
        </is>
      </c>
      <c r="C93" s="32" t="inlineStr">
        <is>
          <t>Technological</t>
        </is>
      </c>
      <c r="D93" s="32" t="inlineStr">
        <is>
          <t>Secure coding</t>
        </is>
      </c>
      <c r="E93" s="32" t="inlineStr">
        <is>
          <t>Standar coding aman digunakan dan kepatuhan diperiksa</t>
        </is>
      </c>
      <c r="F93" s="32" t="inlineStr">
        <is>
          <t>Coding standard, SAST report, peer review, developer training</t>
        </is>
      </c>
      <c r="G93" s="13" t="inlineStr">
        <is>
          <t>Berlaku</t>
        </is>
      </c>
      <c r="H93" s="13" t="inlineStr">
        <is>
          <t>Kontrol A.8.28 relevan dan wajib diterapkan pada platform operasional auditsphere.app.</t>
        </is>
      </c>
      <c r="I93" s="13" t="inlineStr">
        <is>
          <t>Diterapkan</t>
        </is>
      </c>
      <c r="J93" s="13" t="inlineStr">
        <is>
          <t>Lengkap</t>
        </is>
      </c>
      <c r="K93" s="13" t="inlineStr">
        <is>
          <t>DOC-SCG-001-Secure-Coding-Guide</t>
        </is>
      </c>
      <c r="L93" s="13" t="inlineStr">
        <is>
          <t>Lead Developer</t>
        </is>
      </c>
      <c r="M93" s="14" t="n">
        <v>46302</v>
      </c>
      <c r="N93" s="14" t="n">
        <v>46477</v>
      </c>
      <c r="O93" s="13" t="inlineStr">
        <is>
          <t>Memadai</t>
        </is>
      </c>
      <c r="P93" s="13" t="inlineStr">
        <is>
          <t>Efektif</t>
        </is>
      </c>
      <c r="Q93" s="13" t="inlineStr">
        <is>
          <t>Pedoman secure coding diterapkan: query parameterized anti-SQLi dan Vue auto-escaping anti-XSS.</t>
        </is>
      </c>
      <c r="R93" s="13" t="inlineStr">
        <is>
          <t>Pertahankan efektivitas kontrol dan lakukan review operasional berkala</t>
        </is>
      </c>
      <c r="S93" s="13" t="inlineStr">
        <is>
          <t>Sedang</t>
        </is>
      </c>
      <c r="T93" s="14" t="n">
        <v>46477</v>
      </c>
      <c r="U93" s="13" t="inlineStr">
        <is>
          <t>Dimas (Group Vision)</t>
        </is>
      </c>
      <c r="V93" s="14" t="n">
        <v>46302</v>
      </c>
      <c r="W93" s="31">
        <f>IF(G93="Belum ditentukan","Tentukan relevansi",IF(G93="Tidak berlaku",IF(OR(H93="",U93="",V93=""),"Lengkapi justifikasi","Tercatat"),IF(OR(J93="",L93="",N93="",O93="",P93=""),"Lengkapi assessment",IF(AND(I93="Diterapkan",J93="Lengkap",O93="Memadai",P93="Efektif",OR(K93="",U93="",V93="")),"Lengkapi bukti/reviewer","Tercatat"))))</f>
        <v/>
      </c>
      <c r="X93" s="31">
        <f>IF(G93="Belum ditentukan","Belum dinilai",IF(G93="Tidak berlaku",IF(W93="Tercatat","Dikecualikan","Belum siap"),IF(AND(I93="Diterapkan",J93="Lengkap",O93="Memadai",P93="Efektif",W93="Tercatat"),"Siap","Belum siap")))</f>
        <v/>
      </c>
      <c r="Y93" s="31">
        <f>IF(G93="Belum ditentukan","Belum dijadwalkan",IF(N93="","Tanpa jadwal",IF(N93&lt;'Master Data'!$C$9,"Review lewat","Dalam jadwal")))</f>
        <v/>
      </c>
      <c r="Z93" s="31">
        <f>IF(X93="Belum dinilai","Belum dinilai",IF(AND(OR(X93="Siap",X93="Dikecualikan"),Y93="Dalam jadwal"),"Tidak","Ya"))</f>
        <v/>
      </c>
    </row>
    <row r="94" ht="63.95" customHeight="1">
      <c r="A94" s="1" t="n"/>
      <c r="B94" s="12" t="inlineStr">
        <is>
          <t>A.8.29</t>
        </is>
      </c>
      <c r="C94" s="32" t="inlineStr">
        <is>
          <t>Technological</t>
        </is>
      </c>
      <c r="D94" s="32" t="inlineStr">
        <is>
          <t>Pengujian keamanan dalam pengembangan dan penerimaan</t>
        </is>
      </c>
      <c r="E94" s="32" t="inlineStr">
        <is>
          <t>Pengujian keamanan direncanakan dan hasilnya ditindaklanjuti</t>
        </is>
      </c>
      <c r="F94" s="32" t="inlineStr">
        <is>
          <t>Test plan, SAST/DAST, pentest, defect ticket, sign-off</t>
        </is>
      </c>
      <c r="G94" s="13" t="inlineStr">
        <is>
          <t>Berlaku</t>
        </is>
      </c>
      <c r="H94" s="13" t="inlineStr">
        <is>
          <t>Kontrol A.8.29 relevan dan wajib diterapkan pada platform operasional auditsphere.app.</t>
        </is>
      </c>
      <c r="I94" s="13" t="inlineStr">
        <is>
          <t>Diterapkan</t>
        </is>
      </c>
      <c r="J94" s="13" t="inlineStr">
        <is>
          <t>Lengkap</t>
        </is>
      </c>
      <c r="K94" s="13" t="inlineStr">
        <is>
          <t>ORG-LoA-202610-CloudPentest-v1.pdf</t>
        </is>
      </c>
      <c r="L94" s="13" t="inlineStr">
        <is>
          <t>Security Officer</t>
        </is>
      </c>
      <c r="M94" s="14" t="n">
        <v>46302</v>
      </c>
      <c r="N94" s="14" t="n">
        <v>46477</v>
      </c>
      <c r="O94" s="13" t="inlineStr">
        <is>
          <t>Memadai</t>
        </is>
      </c>
      <c r="P94" s="13" t="inlineStr">
        <is>
          <t>Efektif</t>
        </is>
      </c>
      <c r="Q94" s="13" t="inlineStr">
        <is>
          <t>Pengujian penetrasi pre-pentest dipersiapkan resmi dengan LoA dan Scope &amp; Window baku.</t>
        </is>
      </c>
      <c r="R94" s="13" t="inlineStr">
        <is>
          <t>Pertahankan efektivitas kontrol dan lakukan review operasional berkala</t>
        </is>
      </c>
      <c r="S94" s="13" t="inlineStr">
        <is>
          <t>Sedang</t>
        </is>
      </c>
      <c r="T94" s="14" t="n">
        <v>46477</v>
      </c>
      <c r="U94" s="13" t="inlineStr">
        <is>
          <t>Dimas (Group Vision)</t>
        </is>
      </c>
      <c r="V94" s="14" t="n">
        <v>46302</v>
      </c>
      <c r="W94" s="31">
        <f>IF(G94="Belum ditentukan","Tentukan relevansi",IF(G94="Tidak berlaku",IF(OR(H94="",U94="",V94=""),"Lengkapi justifikasi","Tercatat"),IF(OR(J94="",L94="",N94="",O94="",P94=""),"Lengkapi assessment",IF(AND(I94="Diterapkan",J94="Lengkap",O94="Memadai",P94="Efektif",OR(K94="",U94="",V94="")),"Lengkapi bukti/reviewer","Tercatat"))))</f>
        <v/>
      </c>
      <c r="X94" s="31">
        <f>IF(G94="Belum ditentukan","Belum dinilai",IF(G94="Tidak berlaku",IF(W94="Tercatat","Dikecualikan","Belum siap"),IF(AND(I94="Diterapkan",J94="Lengkap",O94="Memadai",P94="Efektif",W94="Tercatat"),"Siap","Belum siap")))</f>
        <v/>
      </c>
      <c r="Y94" s="31">
        <f>IF(G94="Belum ditentukan","Belum dijadwalkan",IF(N94="","Tanpa jadwal",IF(N94&lt;'Master Data'!$C$9,"Review lewat","Dalam jadwal")))</f>
        <v/>
      </c>
      <c r="Z94" s="31">
        <f>IF(X94="Belum dinilai","Belum dinilai",IF(AND(OR(X94="Siap",X94="Dikecualikan"),Y94="Dalam jadwal"),"Tidak","Ya"))</f>
        <v/>
      </c>
    </row>
    <row r="95" ht="63.95" customHeight="1">
      <c r="A95" s="1" t="n"/>
      <c r="B95" s="12" t="inlineStr">
        <is>
          <t>A.8.30</t>
        </is>
      </c>
      <c r="C95" s="32" t="inlineStr">
        <is>
          <t>Technological</t>
        </is>
      </c>
      <c r="D95" s="32" t="inlineStr">
        <is>
          <t>Pengembangan oleh pihak luar</t>
        </is>
      </c>
      <c r="E95" s="32" t="inlineStr">
        <is>
          <t>Pengembangan outsourcing memiliki persyaratan dan pengawasan keamanan</t>
        </is>
      </c>
      <c r="F95" s="32" t="inlineStr">
        <is>
          <t>Contract, security requirement, code review, delivery acceptance</t>
        </is>
      </c>
      <c r="G95" s="13" t="inlineStr">
        <is>
          <t>Berlaku</t>
        </is>
      </c>
      <c r="H95" s="13" t="inlineStr">
        <is>
          <t>Kontrol A.8.30 relevan dan wajib diterapkan pada platform operasional auditsphere.app.</t>
        </is>
      </c>
      <c r="I95" s="13" t="inlineStr">
        <is>
          <t>Diterapkan</t>
        </is>
      </c>
      <c r="J95" s="13" t="inlineStr">
        <is>
          <t>Lengkap</t>
        </is>
      </c>
      <c r="K95" s="13" t="inlineStr">
        <is>
          <t>ORG-InHouse-Dev-Charter</t>
        </is>
      </c>
      <c r="L95" s="13" t="inlineStr">
        <is>
          <t>Tech Lead AIFL</t>
        </is>
      </c>
      <c r="M95" s="14" t="n">
        <v>46302</v>
      </c>
      <c r="N95" s="14" t="n">
        <v>46477</v>
      </c>
      <c r="O95" s="13" t="inlineStr">
        <is>
          <t>Memadai</t>
        </is>
      </c>
      <c r="P95" s="13" t="inlineStr">
        <is>
          <t>Efektif</t>
        </is>
      </c>
      <c r="Q95" s="13" t="inlineStr">
        <is>
          <t>Seluruh modul inti dikembangkan in-house oleh tim internal AIFL dengan pengawasan penuh.</t>
        </is>
      </c>
      <c r="R95" s="13" t="inlineStr">
        <is>
          <t>Pertahankan efektivitas kontrol dan lakukan review operasional berkala</t>
        </is>
      </c>
      <c r="S95" s="13" t="inlineStr">
        <is>
          <t>Sedang</t>
        </is>
      </c>
      <c r="T95" s="14" t="n">
        <v>46477</v>
      </c>
      <c r="U95" s="13" t="inlineStr">
        <is>
          <t>Dimas (Group Vision)</t>
        </is>
      </c>
      <c r="V95" s="14" t="n">
        <v>46302</v>
      </c>
      <c r="W95" s="31">
        <f>IF(G95="Belum ditentukan","Tentukan relevansi",IF(G95="Tidak berlaku",IF(OR(H95="",U95="",V95=""),"Lengkapi justifikasi","Tercatat"),IF(OR(J95="",L95="",N95="",O95="",P95=""),"Lengkapi assessment",IF(AND(I95="Diterapkan",J95="Lengkap",O95="Memadai",P95="Efektif",OR(K95="",U95="",V95="")),"Lengkapi bukti/reviewer","Tercatat"))))</f>
        <v/>
      </c>
      <c r="X95" s="31">
        <f>IF(G95="Belum ditentukan","Belum dinilai",IF(G95="Tidak berlaku",IF(W95="Tercatat","Dikecualikan","Belum siap"),IF(AND(I95="Diterapkan",J95="Lengkap",O95="Memadai",P95="Efektif",W95="Tercatat"),"Siap","Belum siap")))</f>
        <v/>
      </c>
      <c r="Y95" s="31">
        <f>IF(G95="Belum ditentukan","Belum dijadwalkan",IF(N95="","Tanpa jadwal",IF(N95&lt;'Master Data'!$C$9,"Review lewat","Dalam jadwal")))</f>
        <v/>
      </c>
      <c r="Z95" s="31">
        <f>IF(X95="Belum dinilai","Belum dinilai",IF(AND(OR(X95="Siap",X95="Dikecualikan"),Y95="Dalam jadwal"),"Tidak","Ya"))</f>
        <v/>
      </c>
    </row>
    <row r="96" ht="63.95" customHeight="1">
      <c r="A96" s="1" t="n"/>
      <c r="B96" s="12" t="inlineStr">
        <is>
          <t>A.8.31</t>
        </is>
      </c>
      <c r="C96" s="32" t="inlineStr">
        <is>
          <t>Technological</t>
        </is>
      </c>
      <c r="D96" s="32" t="inlineStr">
        <is>
          <t>Pemisahan lingkungan development, test, dan production</t>
        </is>
      </c>
      <c r="E96" s="32" t="inlineStr">
        <is>
          <t>Lingkungan dan akses dipisahkan untuk mencegah perubahan tidak sah</t>
        </is>
      </c>
      <c r="F96" s="32" t="inlineStr">
        <is>
          <t>Environment diagram, IAM role, pipeline control, access test</t>
        </is>
      </c>
      <c r="G96" s="13" t="inlineStr">
        <is>
          <t>Berlaku</t>
        </is>
      </c>
      <c r="H96" s="13" t="inlineStr">
        <is>
          <t>Kontrol A.8.31 relevan dan wajib diterapkan pada platform operasional auditsphere.app.</t>
        </is>
      </c>
      <c r="I96" s="13" t="inlineStr">
        <is>
          <t>Diterapkan</t>
        </is>
      </c>
      <c r="J96" s="13" t="inlineStr">
        <is>
          <t>Lengkap</t>
        </is>
      </c>
      <c r="K96" s="13" t="inlineStr">
        <is>
          <t>SRC-deploy-prod.sh</t>
        </is>
      </c>
      <c r="L96" s="13" t="inlineStr">
        <is>
          <t>DevOps Lead</t>
        </is>
      </c>
      <c r="M96" s="14" t="n">
        <v>46302</v>
      </c>
      <c r="N96" s="14" t="n">
        <v>46477</v>
      </c>
      <c r="O96" s="13" t="inlineStr">
        <is>
          <t>Memadai</t>
        </is>
      </c>
      <c r="P96" s="13" t="inlineStr">
        <is>
          <t>Efektif</t>
        </is>
      </c>
      <c r="Q96" s="13" t="inlineStr">
        <is>
          <t>Pemisahan tegas lingkungan development, staging, dan production dengan port dan kredensial terpisah.</t>
        </is>
      </c>
      <c r="R96" s="13" t="inlineStr">
        <is>
          <t>Pertahankan efektivitas kontrol dan lakukan review operasional berkala</t>
        </is>
      </c>
      <c r="S96" s="13" t="inlineStr">
        <is>
          <t>Sedang</t>
        </is>
      </c>
      <c r="T96" s="14" t="n">
        <v>46477</v>
      </c>
      <c r="U96" s="13" t="inlineStr">
        <is>
          <t>Dimas (Group Vision)</t>
        </is>
      </c>
      <c r="V96" s="14" t="n">
        <v>46302</v>
      </c>
      <c r="W96" s="31">
        <f>IF(G96="Belum ditentukan","Tentukan relevansi",IF(G96="Tidak berlaku",IF(OR(H96="",U96="",V96=""),"Lengkapi justifikasi","Tercatat"),IF(OR(J96="",L96="",N96="",O96="",P96=""),"Lengkapi assessment",IF(AND(I96="Diterapkan",J96="Lengkap",O96="Memadai",P96="Efektif",OR(K96="",U96="",V96="")),"Lengkapi bukti/reviewer","Tercatat"))))</f>
        <v/>
      </c>
      <c r="X96" s="31">
        <f>IF(G96="Belum ditentukan","Belum dinilai",IF(G96="Tidak berlaku",IF(W96="Tercatat","Dikecualikan","Belum siap"),IF(AND(I96="Diterapkan",J96="Lengkap",O96="Memadai",P96="Efektif",W96="Tercatat"),"Siap","Belum siap")))</f>
        <v/>
      </c>
      <c r="Y96" s="31">
        <f>IF(G96="Belum ditentukan","Belum dijadwalkan",IF(N96="","Tanpa jadwal",IF(N96&lt;'Master Data'!$C$9,"Review lewat","Dalam jadwal")))</f>
        <v/>
      </c>
      <c r="Z96" s="31">
        <f>IF(X96="Belum dinilai","Belum dinilai",IF(AND(OR(X96="Siap",X96="Dikecualikan"),Y96="Dalam jadwal"),"Tidak","Ya"))</f>
        <v/>
      </c>
    </row>
    <row r="97" ht="63.95" customHeight="1">
      <c r="A97" s="1" t="n"/>
      <c r="B97" s="12" t="inlineStr">
        <is>
          <t>A.8.32</t>
        </is>
      </c>
      <c r="C97" s="32" t="inlineStr">
        <is>
          <t>Technological</t>
        </is>
      </c>
      <c r="D97" s="32" t="inlineStr">
        <is>
          <t>Manajemen perubahan</t>
        </is>
      </c>
      <c r="E97" s="32" t="inlineStr">
        <is>
          <t>Perubahan sistem dinilai, disetujui, diuji, dan dapat dilacak</t>
        </is>
      </c>
      <c r="F97" s="32" t="inlineStr">
        <is>
          <t>Change ticket, impact assessment, approval, rollback, test result</t>
        </is>
      </c>
      <c r="G97" s="13" t="inlineStr">
        <is>
          <t>Berlaku</t>
        </is>
      </c>
      <c r="H97" s="13" t="inlineStr">
        <is>
          <t>Kontrol A.8.32 relevan dan wajib diterapkan pada platform operasional auditsphere.app.</t>
        </is>
      </c>
      <c r="I97" s="13" t="inlineStr">
        <is>
          <t>Diterapkan</t>
        </is>
      </c>
      <c r="J97" s="13" t="inlineStr">
        <is>
          <t>Lengkap</t>
        </is>
      </c>
      <c r="K97" s="13" t="inlineStr">
        <is>
          <t>TEC-Git-Log</t>
        </is>
      </c>
      <c r="L97" s="13" t="inlineStr">
        <is>
          <t>Tech Lead AIFL</t>
        </is>
      </c>
      <c r="M97" s="14" t="n">
        <v>46302</v>
      </c>
      <c r="N97" s="14" t="n">
        <v>46477</v>
      </c>
      <c r="O97" s="13" t="inlineStr">
        <is>
          <t>Memadai</t>
        </is>
      </c>
      <c r="P97" s="13" t="inlineStr">
        <is>
          <t>Efektif</t>
        </is>
      </c>
      <c r="Q97" s="13" t="inlineStr">
        <is>
          <t>Manajemen perubahan sistem dilacak melalui git pull request review dan migrasi skema SQL terkontrol.</t>
        </is>
      </c>
      <c r="R97" s="13" t="inlineStr">
        <is>
          <t>Pertahankan efektivitas kontrol dan lakukan review operasional berkala</t>
        </is>
      </c>
      <c r="S97" s="13" t="inlineStr">
        <is>
          <t>Sedang</t>
        </is>
      </c>
      <c r="T97" s="14" t="n">
        <v>46477</v>
      </c>
      <c r="U97" s="13" t="inlineStr">
        <is>
          <t>Dimas (Group Vision)</t>
        </is>
      </c>
      <c r="V97" s="14" t="n">
        <v>46302</v>
      </c>
      <c r="W97" s="31">
        <f>IF(G97="Belum ditentukan","Tentukan relevansi",IF(G97="Tidak berlaku",IF(OR(H97="",U97="",V97=""),"Lengkapi justifikasi","Tercatat"),IF(OR(J97="",L97="",N97="",O97="",P97=""),"Lengkapi assessment",IF(AND(I97="Diterapkan",J97="Lengkap",O97="Memadai",P97="Efektif",OR(K97="",U97="",V97="")),"Lengkapi bukti/reviewer","Tercatat"))))</f>
        <v/>
      </c>
      <c r="X97" s="31">
        <f>IF(G97="Belum ditentukan","Belum dinilai",IF(G97="Tidak berlaku",IF(W97="Tercatat","Dikecualikan","Belum siap"),IF(AND(I97="Diterapkan",J97="Lengkap",O97="Memadai",P97="Efektif",W97="Tercatat"),"Siap","Belum siap")))</f>
        <v/>
      </c>
      <c r="Y97" s="31">
        <f>IF(G97="Belum ditentukan","Belum dijadwalkan",IF(N97="","Tanpa jadwal",IF(N97&lt;'Master Data'!$C$9,"Review lewat","Dalam jadwal")))</f>
        <v/>
      </c>
      <c r="Z97" s="31">
        <f>IF(X97="Belum dinilai","Belum dinilai",IF(AND(OR(X97="Siap",X97="Dikecualikan"),Y97="Dalam jadwal"),"Tidak","Ya"))</f>
        <v/>
      </c>
    </row>
    <row r="98" ht="63.95" customHeight="1">
      <c r="A98" s="1" t="n"/>
      <c r="B98" s="12" t="inlineStr">
        <is>
          <t>A.8.33</t>
        </is>
      </c>
      <c r="C98" s="32" t="inlineStr">
        <is>
          <t>Technological</t>
        </is>
      </c>
      <c r="D98" s="32" t="inlineStr">
        <is>
          <t>Informasi pengujian</t>
        </is>
      </c>
      <c r="E98" s="32" t="inlineStr">
        <is>
          <t>Data uji dipilih, dilindungi, dan dihapus sesuai kebutuhan</t>
        </is>
      </c>
      <c r="F98" s="32" t="inlineStr">
        <is>
          <t>Test data policy, masking, access log, deletion record</t>
        </is>
      </c>
      <c r="G98" s="13" t="inlineStr">
        <is>
          <t>Berlaku</t>
        </is>
      </c>
      <c r="H98" s="13" t="inlineStr">
        <is>
          <t>Kontrol A.8.33 relevan dan wajib diterapkan pada platform operasional auditsphere.app.</t>
        </is>
      </c>
      <c r="I98" s="13" t="inlineStr">
        <is>
          <t>Diterapkan</t>
        </is>
      </c>
      <c r="J98" s="13" t="inlineStr">
        <is>
          <t>Lengkap</t>
        </is>
      </c>
      <c r="K98" s="13" t="inlineStr">
        <is>
          <t>SRC-backend/auth-service/cmd/auth</t>
        </is>
      </c>
      <c r="L98" s="13" t="inlineStr">
        <is>
          <t>QA Lead</t>
        </is>
      </c>
      <c r="M98" s="14" t="n">
        <v>46302</v>
      </c>
      <c r="N98" s="14" t="n">
        <v>46477</v>
      </c>
      <c r="O98" s="13" t="inlineStr">
        <is>
          <t>Memadai</t>
        </is>
      </c>
      <c r="P98" s="13" t="inlineStr">
        <is>
          <t>Efektif</t>
        </is>
      </c>
      <c r="Q98" s="13" t="inlineStr">
        <is>
          <t>Pengujian sistem menggunakan data sintetis dummy; dilarang menggunakan data riil klien di staging.</t>
        </is>
      </c>
      <c r="R98" s="13" t="inlineStr">
        <is>
          <t>Pertahankan efektivitas kontrol dan lakukan review operasional berkala</t>
        </is>
      </c>
      <c r="S98" s="13" t="inlineStr">
        <is>
          <t>Sedang</t>
        </is>
      </c>
      <c r="T98" s="14" t="n">
        <v>46477</v>
      </c>
      <c r="U98" s="13" t="inlineStr">
        <is>
          <t>Dimas (Group Vision)</t>
        </is>
      </c>
      <c r="V98" s="14" t="n">
        <v>46302</v>
      </c>
      <c r="W98" s="31">
        <f>IF(G98="Belum ditentukan","Tentukan relevansi",IF(G98="Tidak berlaku",IF(OR(H98="",U98="",V98=""),"Lengkapi justifikasi","Tercatat"),IF(OR(J98="",L98="",N98="",O98="",P98=""),"Lengkapi assessment",IF(AND(I98="Diterapkan",J98="Lengkap",O98="Memadai",P98="Efektif",OR(K98="",U98="",V98="")),"Lengkapi bukti/reviewer","Tercatat"))))</f>
        <v/>
      </c>
      <c r="X98" s="31">
        <f>IF(G98="Belum ditentukan","Belum dinilai",IF(G98="Tidak berlaku",IF(W98="Tercatat","Dikecualikan","Belum siap"),IF(AND(I98="Diterapkan",J98="Lengkap",O98="Memadai",P98="Efektif",W98="Tercatat"),"Siap","Belum siap")))</f>
        <v/>
      </c>
      <c r="Y98" s="31">
        <f>IF(G98="Belum ditentukan","Belum dijadwalkan",IF(N98="","Tanpa jadwal",IF(N98&lt;'Master Data'!$C$9,"Review lewat","Dalam jadwal")))</f>
        <v/>
      </c>
      <c r="Z98" s="31">
        <f>IF(X98="Belum dinilai","Belum dinilai",IF(AND(OR(X98="Siap",X98="Dikecualikan"),Y98="Dalam jadwal"),"Tidak","Ya"))</f>
        <v/>
      </c>
    </row>
    <row r="99" ht="63.95" customHeight="1">
      <c r="A99" s="1" t="n"/>
      <c r="B99" s="12" t="inlineStr">
        <is>
          <t>A.8.34</t>
        </is>
      </c>
      <c r="C99" s="32" t="inlineStr">
        <is>
          <t>Technological</t>
        </is>
      </c>
      <c r="D99" s="32" t="inlineStr">
        <is>
          <t>Perlindungan sistem selama pengujian audit</t>
        </is>
      </c>
      <c r="E99" s="32" t="inlineStr">
        <is>
          <t>Audit test direncanakan agar tidak mengganggu sistem atau data</t>
        </is>
      </c>
      <c r="F99" s="32" t="inlineStr">
        <is>
          <t>Audit test plan, approval, backup, monitoring, result log</t>
        </is>
      </c>
      <c r="G99" s="13" t="inlineStr">
        <is>
          <t>Berlaku</t>
        </is>
      </c>
      <c r="H99" s="13" t="inlineStr">
        <is>
          <t>Kontrol A.8.34 relevan dan wajib diterapkan pada platform operasional auditsphere.app.</t>
        </is>
      </c>
      <c r="I99" s="13" t="inlineStr">
        <is>
          <t>Diterapkan</t>
        </is>
      </c>
      <c r="J99" s="13" t="inlineStr">
        <is>
          <t>Lengkap</t>
        </is>
      </c>
      <c r="K99" s="13" t="inlineStr">
        <is>
          <t>ORG-RoE-202610-ScopeAndWindow-v1.pdf</t>
        </is>
      </c>
      <c r="L99" s="13" t="inlineStr">
        <is>
          <t>Security Officer</t>
        </is>
      </c>
      <c r="M99" s="14" t="n">
        <v>46302</v>
      </c>
      <c r="N99" s="14" t="n">
        <v>46477</v>
      </c>
      <c r="O99" s="13" t="inlineStr">
        <is>
          <t>Memadai</t>
        </is>
      </c>
      <c r="P99" s="13" t="inlineStr">
        <is>
          <t>Efektif</t>
        </is>
      </c>
      <c r="Q99" s="13" t="inlineStr">
        <is>
          <t>Rules of Engagement membatasi pengujian penetrasi di luar jam kerja dengan batasan non-destruktif.</t>
        </is>
      </c>
      <c r="R99" s="13" t="inlineStr">
        <is>
          <t>Pertahankan efektivitas kontrol dan lakukan review operasional berkala</t>
        </is>
      </c>
      <c r="S99" s="13" t="inlineStr">
        <is>
          <t>Sedang</t>
        </is>
      </c>
      <c r="T99" s="14" t="n">
        <v>46477</v>
      </c>
      <c r="U99" s="13" t="inlineStr">
        <is>
          <t>Dimas (Group Vision)</t>
        </is>
      </c>
      <c r="V99" s="14" t="n">
        <v>46302</v>
      </c>
      <c r="W99" s="31">
        <f>IF(G99="Belum ditentukan","Tentukan relevansi",IF(G99="Tidak berlaku",IF(OR(H99="",U99="",V99=""),"Lengkapi justifikasi","Tercatat"),IF(OR(J99="",L99="",N99="",O99="",P99=""),"Lengkapi assessment",IF(AND(I99="Diterapkan",J99="Lengkap",O99="Memadai",P99="Efektif",OR(K99="",U99="",V99="")),"Lengkapi bukti/reviewer","Tercatat"))))</f>
        <v/>
      </c>
      <c r="X99" s="31">
        <f>IF(G99="Belum ditentukan","Belum dinilai",IF(G99="Tidak berlaku",IF(W99="Tercatat","Dikecualikan","Belum siap"),IF(AND(I99="Diterapkan",J99="Lengkap",O99="Memadai",P99="Efektif",W99="Tercatat"),"Siap","Belum siap")))</f>
        <v/>
      </c>
      <c r="Y99" s="31">
        <f>IF(G99="Belum ditentukan","Belum dijadwalkan",IF(N99="","Tanpa jadwal",IF(N99&lt;'Master Data'!$C$9,"Review lewat","Dalam jadwal")))</f>
        <v/>
      </c>
      <c r="Z99" s="31">
        <f>IF(X99="Belum dinilai","Belum dinilai",IF(AND(OR(X99="Siap",X99="Dikecualikan"),Y99="Dalam jadwal"),"Tidak","Ya"))</f>
        <v/>
      </c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</sheetData>
  <mergeCells count="2">
    <mergeCell ref="B3:Z3"/>
    <mergeCell ref="B2:Z2"/>
  </mergeCells>
  <conditionalFormatting sqref="X7:X99">
    <cfRule type="cellIs" priority="1" operator="equal" dxfId="3">
      <formula>"Siap"</formula>
    </cfRule>
    <cfRule type="cellIs" priority="2" operator="equal" dxfId="7">
      <formula>"Dikecualikan"</formula>
    </cfRule>
    <cfRule type="cellIs" priority="3" operator="equal" dxfId="0">
      <formula>"Belum siap"</formula>
    </cfRule>
  </conditionalFormatting>
  <conditionalFormatting sqref="Y7:Y99">
    <cfRule type="containsText" priority="4" operator="containsText" dxfId="0" text="Review lewat"/>
  </conditionalFormatting>
  <conditionalFormatting sqref="Z7:Z99">
    <cfRule type="cellIs" priority="5" operator="equal" dxfId="0">
      <formula>"Ya"</formula>
    </cfRule>
  </conditionalFormatting>
  <dataValidations count="6">
    <dataValidation sqref="G7:G99" showDropDown="0" showInputMessage="0" showErrorMessage="0" allowBlank="0" type="list">
      <formula1>"Belum ditentukan,Berlaku,Tidak berlaku"</formula1>
    </dataValidation>
    <dataValidation sqref="I7:I99" showDropDown="0" showInputMessage="0" showErrorMessage="0" allowBlank="0" type="list">
      <formula1>"Belum diterapkan,Dalam proses,Diterapkan,N/A"</formula1>
    </dataValidation>
    <dataValidation sqref="J7:J99" showDropDown="0" showInputMessage="0" showErrorMessage="0" allowBlank="0" type="list">
      <formula1>"Belum tersedia,Ada sebagian,Lengkap,N/A"</formula1>
    </dataValidation>
    <dataValidation sqref="O7:O99" showDropDown="0" showInputMessage="0" showErrorMessage="0" allowBlank="0" type="list">
      <formula1>"Belum diuji,Tidak memadai,Perlu perbaikan,Memadai,N/A"</formula1>
    </dataValidation>
    <dataValidation sqref="P7:P99" showDropDown="0" showInputMessage="0" showErrorMessage="0" allowBlank="0" type="list">
      <formula1>"Belum diuji,Tidak efektif,Sebagian efektif,Efektif,N/A"</formula1>
    </dataValidation>
    <dataValidation sqref="S7:S99" showDropDown="0" showInputMessage="0" showErrorMessage="0" allowBlank="0" type="list">
      <formula1>"Kritis,Tinggi,Sedang,Rendah"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2563EB"/>
    <outlinePr summaryBelow="1" summaryRight="1"/>
    <pageSetUpPr/>
  </sheetPr>
  <dimension ref="A1:M102"/>
  <sheetViews>
    <sheetView showGridLines="0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D7" sqref="D7"/>
    </sheetView>
  </sheetViews>
  <sheetFormatPr baseColWidth="8" defaultRowHeight="14.25"/>
  <cols>
    <col width="3" customWidth="1" min="1" max="1"/>
    <col width="14" customWidth="1" min="2" max="2"/>
    <col width="18" customWidth="1" min="3" max="3"/>
    <col width="34" customWidth="1" min="4" max="4"/>
    <col width="21" customWidth="1" min="5" max="5"/>
    <col width="22" customWidth="1" min="6" max="6"/>
    <col width="21" customWidth="1" min="7" max="7"/>
    <col width="20" customWidth="1" min="8" max="8"/>
    <col width="21" customWidth="1" min="9" max="9"/>
    <col width="22" customWidth="1" min="10" max="10"/>
    <col width="16" customWidth="1" min="11" max="11"/>
    <col width="20" customWidth="1" min="12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6" customHeight="1">
      <c r="A2" s="1" t="n"/>
      <c r="B2" s="18" t="inlineStr">
        <is>
          <t>REVIEW KESIAPAN KONTROL</t>
        </is>
      </c>
    </row>
    <row r="3" ht="24.95" customHeight="1">
      <c r="A3" s="1" t="n"/>
      <c r="B3" s="19" t="inlineStr">
        <is>
          <t>Tampilan otomatis untuk review manajemen — gunakan filter status dan tema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 ht="44.1" customHeight="1">
      <c r="A6" s="1" t="n"/>
      <c r="B6" s="28" t="inlineStr">
        <is>
          <t>Kontrol</t>
        </is>
      </c>
      <c r="C6" s="29" t="inlineStr">
        <is>
          <t>Tema</t>
        </is>
      </c>
      <c r="D6" s="29" t="inlineStr">
        <is>
          <t>Judul kontrol</t>
        </is>
      </c>
      <c r="E6" s="29" t="inlineStr">
        <is>
          <t>Relevansi</t>
        </is>
      </c>
      <c r="F6" s="29" t="inlineStr">
        <is>
          <t>Implementasi</t>
        </is>
      </c>
      <c r="G6" s="29" t="inlineStr">
        <is>
          <t>Bukti</t>
        </is>
      </c>
      <c r="H6" s="29" t="inlineStr">
        <is>
          <t>Kesiapan</t>
        </is>
      </c>
      <c r="I6" s="29" t="inlineStr">
        <is>
          <t>Deadline</t>
        </is>
      </c>
      <c r="J6" s="29" t="inlineStr">
        <is>
          <t>PIC</t>
        </is>
      </c>
      <c r="K6" s="29" t="inlineStr">
        <is>
          <t>Prioritas</t>
        </is>
      </c>
      <c r="L6" s="29" t="inlineStr">
        <is>
          <t>Target</t>
        </is>
      </c>
      <c r="M6" s="30" t="inlineStr">
        <is>
          <t>Perlu tindakan</t>
        </is>
      </c>
    </row>
    <row r="7" ht="42" customHeight="1">
      <c r="A7" s="1" t="n"/>
      <c r="B7" s="32">
        <f>IF('Checklist 93 Kontrol'!B7="","",'Checklist 93 Kontrol'!B7)</f>
        <v/>
      </c>
      <c r="C7" s="32">
        <f>IF('Checklist 93 Kontrol'!C7="","",'Checklist 93 Kontrol'!C7)</f>
        <v/>
      </c>
      <c r="D7" s="32">
        <f>IF('Checklist 93 Kontrol'!D7="","",'Checklist 93 Kontrol'!D7)</f>
        <v/>
      </c>
      <c r="E7" s="32">
        <f>IF('Checklist 93 Kontrol'!G7="","",'Checklist 93 Kontrol'!G7)</f>
        <v/>
      </c>
      <c r="F7" s="32">
        <f>IF('Checklist 93 Kontrol'!I7="","",'Checklist 93 Kontrol'!I7)</f>
        <v/>
      </c>
      <c r="G7" s="32">
        <f>IF('Checklist 93 Kontrol'!J7="","",'Checklist 93 Kontrol'!J7)</f>
        <v/>
      </c>
      <c r="H7" s="32">
        <f>IF('Checklist 93 Kontrol'!X7="","",'Checklist 93 Kontrol'!X7)</f>
        <v/>
      </c>
      <c r="I7" s="32">
        <f>IF('Checklist 93 Kontrol'!Y7="","",'Checklist 93 Kontrol'!Y7)</f>
        <v/>
      </c>
      <c r="J7" s="32">
        <f>IF('Checklist 93 Kontrol'!L7="","",'Checklist 93 Kontrol'!L7)</f>
        <v/>
      </c>
      <c r="K7" s="32">
        <f>IF('Checklist 93 Kontrol'!S7="","",'Checklist 93 Kontrol'!S7)</f>
        <v/>
      </c>
      <c r="L7" s="15">
        <f>IF('Checklist 93 Kontrol'!T7="","",'Checklist 93 Kontrol'!T7)</f>
        <v/>
      </c>
      <c r="M7" s="32">
        <f>IF('Checklist 93 Kontrol'!Z7="","",'Checklist 93 Kontrol'!Z7)</f>
        <v/>
      </c>
    </row>
    <row r="8" ht="42" customHeight="1">
      <c r="A8" s="1" t="n"/>
      <c r="B8" s="32">
        <f>IF('Checklist 93 Kontrol'!B8="","",'Checklist 93 Kontrol'!B8)</f>
        <v/>
      </c>
      <c r="C8" s="32">
        <f>IF('Checklist 93 Kontrol'!C8="","",'Checklist 93 Kontrol'!C8)</f>
        <v/>
      </c>
      <c r="D8" s="32">
        <f>IF('Checklist 93 Kontrol'!D8="","",'Checklist 93 Kontrol'!D8)</f>
        <v/>
      </c>
      <c r="E8" s="32">
        <f>IF('Checklist 93 Kontrol'!G8="","",'Checklist 93 Kontrol'!G8)</f>
        <v/>
      </c>
      <c r="F8" s="32">
        <f>IF('Checklist 93 Kontrol'!I8="","",'Checklist 93 Kontrol'!I8)</f>
        <v/>
      </c>
      <c r="G8" s="32">
        <f>IF('Checklist 93 Kontrol'!J8="","",'Checklist 93 Kontrol'!J8)</f>
        <v/>
      </c>
      <c r="H8" s="32">
        <f>IF('Checklist 93 Kontrol'!X8="","",'Checklist 93 Kontrol'!X8)</f>
        <v/>
      </c>
      <c r="I8" s="32">
        <f>IF('Checklist 93 Kontrol'!Y8="","",'Checklist 93 Kontrol'!Y8)</f>
        <v/>
      </c>
      <c r="J8" s="32">
        <f>IF('Checklist 93 Kontrol'!L8="","",'Checklist 93 Kontrol'!L8)</f>
        <v/>
      </c>
      <c r="K8" s="32">
        <f>IF('Checklist 93 Kontrol'!S8="","",'Checklist 93 Kontrol'!S8)</f>
        <v/>
      </c>
      <c r="L8" s="15">
        <f>IF('Checklist 93 Kontrol'!T8="","",'Checklist 93 Kontrol'!T8)</f>
        <v/>
      </c>
      <c r="M8" s="32">
        <f>IF('Checklist 93 Kontrol'!Z8="","",'Checklist 93 Kontrol'!Z8)</f>
        <v/>
      </c>
    </row>
    <row r="9" ht="42" customHeight="1">
      <c r="A9" s="1" t="n"/>
      <c r="B9" s="32">
        <f>IF('Checklist 93 Kontrol'!B9="","",'Checklist 93 Kontrol'!B9)</f>
        <v/>
      </c>
      <c r="C9" s="32">
        <f>IF('Checklist 93 Kontrol'!C9="","",'Checklist 93 Kontrol'!C9)</f>
        <v/>
      </c>
      <c r="D9" s="32">
        <f>IF('Checklist 93 Kontrol'!D9="","",'Checklist 93 Kontrol'!D9)</f>
        <v/>
      </c>
      <c r="E9" s="32">
        <f>IF('Checklist 93 Kontrol'!G9="","",'Checklist 93 Kontrol'!G9)</f>
        <v/>
      </c>
      <c r="F9" s="32">
        <f>IF('Checklist 93 Kontrol'!I9="","",'Checklist 93 Kontrol'!I9)</f>
        <v/>
      </c>
      <c r="G9" s="32">
        <f>IF('Checklist 93 Kontrol'!J9="","",'Checklist 93 Kontrol'!J9)</f>
        <v/>
      </c>
      <c r="H9" s="32">
        <f>IF('Checklist 93 Kontrol'!X9="","",'Checklist 93 Kontrol'!X9)</f>
        <v/>
      </c>
      <c r="I9" s="32">
        <f>IF('Checklist 93 Kontrol'!Y9="","",'Checklist 93 Kontrol'!Y9)</f>
        <v/>
      </c>
      <c r="J9" s="32">
        <f>IF('Checklist 93 Kontrol'!L9="","",'Checklist 93 Kontrol'!L9)</f>
        <v/>
      </c>
      <c r="K9" s="32">
        <f>IF('Checklist 93 Kontrol'!S9="","",'Checklist 93 Kontrol'!S9)</f>
        <v/>
      </c>
      <c r="L9" s="15">
        <f>IF('Checklist 93 Kontrol'!T9="","",'Checklist 93 Kontrol'!T9)</f>
        <v/>
      </c>
      <c r="M9" s="32">
        <f>IF('Checklist 93 Kontrol'!Z9="","",'Checklist 93 Kontrol'!Z9)</f>
        <v/>
      </c>
    </row>
    <row r="10" ht="42" customHeight="1">
      <c r="A10" s="1" t="n"/>
      <c r="B10" s="32">
        <f>IF('Checklist 93 Kontrol'!B10="","",'Checklist 93 Kontrol'!B10)</f>
        <v/>
      </c>
      <c r="C10" s="32">
        <f>IF('Checklist 93 Kontrol'!C10="","",'Checklist 93 Kontrol'!C10)</f>
        <v/>
      </c>
      <c r="D10" s="32">
        <f>IF('Checklist 93 Kontrol'!D10="","",'Checklist 93 Kontrol'!D10)</f>
        <v/>
      </c>
      <c r="E10" s="32">
        <f>IF('Checklist 93 Kontrol'!G10="","",'Checklist 93 Kontrol'!G10)</f>
        <v/>
      </c>
      <c r="F10" s="32">
        <f>IF('Checklist 93 Kontrol'!I10="","",'Checklist 93 Kontrol'!I10)</f>
        <v/>
      </c>
      <c r="G10" s="32">
        <f>IF('Checklist 93 Kontrol'!J10="","",'Checklist 93 Kontrol'!J10)</f>
        <v/>
      </c>
      <c r="H10" s="32">
        <f>IF('Checklist 93 Kontrol'!X10="","",'Checklist 93 Kontrol'!X10)</f>
        <v/>
      </c>
      <c r="I10" s="32">
        <f>IF('Checklist 93 Kontrol'!Y10="","",'Checklist 93 Kontrol'!Y10)</f>
        <v/>
      </c>
      <c r="J10" s="32">
        <f>IF('Checklist 93 Kontrol'!L10="","",'Checklist 93 Kontrol'!L10)</f>
        <v/>
      </c>
      <c r="K10" s="32">
        <f>IF('Checklist 93 Kontrol'!S10="","",'Checklist 93 Kontrol'!S10)</f>
        <v/>
      </c>
      <c r="L10" s="15">
        <f>IF('Checklist 93 Kontrol'!T10="","",'Checklist 93 Kontrol'!T10)</f>
        <v/>
      </c>
      <c r="M10" s="32">
        <f>IF('Checklist 93 Kontrol'!Z10="","",'Checklist 93 Kontrol'!Z10)</f>
        <v/>
      </c>
    </row>
    <row r="11" ht="42" customHeight="1">
      <c r="A11" s="1" t="n"/>
      <c r="B11" s="32">
        <f>IF('Checklist 93 Kontrol'!B11="","",'Checklist 93 Kontrol'!B11)</f>
        <v/>
      </c>
      <c r="C11" s="32">
        <f>IF('Checklist 93 Kontrol'!C11="","",'Checklist 93 Kontrol'!C11)</f>
        <v/>
      </c>
      <c r="D11" s="32">
        <f>IF('Checklist 93 Kontrol'!D11="","",'Checklist 93 Kontrol'!D11)</f>
        <v/>
      </c>
      <c r="E11" s="32">
        <f>IF('Checklist 93 Kontrol'!G11="","",'Checklist 93 Kontrol'!G11)</f>
        <v/>
      </c>
      <c r="F11" s="32">
        <f>IF('Checklist 93 Kontrol'!I11="","",'Checklist 93 Kontrol'!I11)</f>
        <v/>
      </c>
      <c r="G11" s="32">
        <f>IF('Checklist 93 Kontrol'!J11="","",'Checklist 93 Kontrol'!J11)</f>
        <v/>
      </c>
      <c r="H11" s="32">
        <f>IF('Checklist 93 Kontrol'!X11="","",'Checklist 93 Kontrol'!X11)</f>
        <v/>
      </c>
      <c r="I11" s="32">
        <f>IF('Checklist 93 Kontrol'!Y11="","",'Checklist 93 Kontrol'!Y11)</f>
        <v/>
      </c>
      <c r="J11" s="32">
        <f>IF('Checklist 93 Kontrol'!L11="","",'Checklist 93 Kontrol'!L11)</f>
        <v/>
      </c>
      <c r="K11" s="32">
        <f>IF('Checklist 93 Kontrol'!S11="","",'Checklist 93 Kontrol'!S11)</f>
        <v/>
      </c>
      <c r="L11" s="15">
        <f>IF('Checklist 93 Kontrol'!T11="","",'Checklist 93 Kontrol'!T11)</f>
        <v/>
      </c>
      <c r="M11" s="32">
        <f>IF('Checklist 93 Kontrol'!Z11="","",'Checklist 93 Kontrol'!Z11)</f>
        <v/>
      </c>
    </row>
    <row r="12" ht="42" customHeight="1">
      <c r="A12" s="1" t="n"/>
      <c r="B12" s="32">
        <f>IF('Checklist 93 Kontrol'!B12="","",'Checklist 93 Kontrol'!B12)</f>
        <v/>
      </c>
      <c r="C12" s="32">
        <f>IF('Checklist 93 Kontrol'!C12="","",'Checklist 93 Kontrol'!C12)</f>
        <v/>
      </c>
      <c r="D12" s="32">
        <f>IF('Checklist 93 Kontrol'!D12="","",'Checklist 93 Kontrol'!D12)</f>
        <v/>
      </c>
      <c r="E12" s="32">
        <f>IF('Checklist 93 Kontrol'!G12="","",'Checklist 93 Kontrol'!G12)</f>
        <v/>
      </c>
      <c r="F12" s="32">
        <f>IF('Checklist 93 Kontrol'!I12="","",'Checklist 93 Kontrol'!I12)</f>
        <v/>
      </c>
      <c r="G12" s="32">
        <f>IF('Checklist 93 Kontrol'!J12="","",'Checklist 93 Kontrol'!J12)</f>
        <v/>
      </c>
      <c r="H12" s="32">
        <f>IF('Checklist 93 Kontrol'!X12="","",'Checklist 93 Kontrol'!X12)</f>
        <v/>
      </c>
      <c r="I12" s="32">
        <f>IF('Checklist 93 Kontrol'!Y12="","",'Checklist 93 Kontrol'!Y12)</f>
        <v/>
      </c>
      <c r="J12" s="32">
        <f>IF('Checklist 93 Kontrol'!L12="","",'Checklist 93 Kontrol'!L12)</f>
        <v/>
      </c>
      <c r="K12" s="32">
        <f>IF('Checklist 93 Kontrol'!S12="","",'Checklist 93 Kontrol'!S12)</f>
        <v/>
      </c>
      <c r="L12" s="15">
        <f>IF('Checklist 93 Kontrol'!T12="","",'Checklist 93 Kontrol'!T12)</f>
        <v/>
      </c>
      <c r="M12" s="32">
        <f>IF('Checklist 93 Kontrol'!Z12="","",'Checklist 93 Kontrol'!Z12)</f>
        <v/>
      </c>
    </row>
    <row r="13" ht="42" customHeight="1">
      <c r="A13" s="1" t="n"/>
      <c r="B13" s="32">
        <f>IF('Checklist 93 Kontrol'!B13="","",'Checklist 93 Kontrol'!B13)</f>
        <v/>
      </c>
      <c r="C13" s="32">
        <f>IF('Checklist 93 Kontrol'!C13="","",'Checklist 93 Kontrol'!C13)</f>
        <v/>
      </c>
      <c r="D13" s="32">
        <f>IF('Checklist 93 Kontrol'!D13="","",'Checklist 93 Kontrol'!D13)</f>
        <v/>
      </c>
      <c r="E13" s="32">
        <f>IF('Checklist 93 Kontrol'!G13="","",'Checklist 93 Kontrol'!G13)</f>
        <v/>
      </c>
      <c r="F13" s="32">
        <f>IF('Checklist 93 Kontrol'!I13="","",'Checklist 93 Kontrol'!I13)</f>
        <v/>
      </c>
      <c r="G13" s="32">
        <f>IF('Checklist 93 Kontrol'!J13="","",'Checklist 93 Kontrol'!J13)</f>
        <v/>
      </c>
      <c r="H13" s="32">
        <f>IF('Checklist 93 Kontrol'!X13="","",'Checklist 93 Kontrol'!X13)</f>
        <v/>
      </c>
      <c r="I13" s="32">
        <f>IF('Checklist 93 Kontrol'!Y13="","",'Checklist 93 Kontrol'!Y13)</f>
        <v/>
      </c>
      <c r="J13" s="32">
        <f>IF('Checklist 93 Kontrol'!L13="","",'Checklist 93 Kontrol'!L13)</f>
        <v/>
      </c>
      <c r="K13" s="32">
        <f>IF('Checklist 93 Kontrol'!S13="","",'Checklist 93 Kontrol'!S13)</f>
        <v/>
      </c>
      <c r="L13" s="15">
        <f>IF('Checklist 93 Kontrol'!T13="","",'Checklist 93 Kontrol'!T13)</f>
        <v/>
      </c>
      <c r="M13" s="32">
        <f>IF('Checklist 93 Kontrol'!Z13="","",'Checklist 93 Kontrol'!Z13)</f>
        <v/>
      </c>
    </row>
    <row r="14" ht="42" customHeight="1">
      <c r="A14" s="1" t="n"/>
      <c r="B14" s="32">
        <f>IF('Checklist 93 Kontrol'!B14="","",'Checklist 93 Kontrol'!B14)</f>
        <v/>
      </c>
      <c r="C14" s="32">
        <f>IF('Checklist 93 Kontrol'!C14="","",'Checklist 93 Kontrol'!C14)</f>
        <v/>
      </c>
      <c r="D14" s="32">
        <f>IF('Checklist 93 Kontrol'!D14="","",'Checklist 93 Kontrol'!D14)</f>
        <v/>
      </c>
      <c r="E14" s="32">
        <f>IF('Checklist 93 Kontrol'!G14="","",'Checklist 93 Kontrol'!G14)</f>
        <v/>
      </c>
      <c r="F14" s="32">
        <f>IF('Checklist 93 Kontrol'!I14="","",'Checklist 93 Kontrol'!I14)</f>
        <v/>
      </c>
      <c r="G14" s="32">
        <f>IF('Checklist 93 Kontrol'!J14="","",'Checklist 93 Kontrol'!J14)</f>
        <v/>
      </c>
      <c r="H14" s="32">
        <f>IF('Checklist 93 Kontrol'!X14="","",'Checklist 93 Kontrol'!X14)</f>
        <v/>
      </c>
      <c r="I14" s="32">
        <f>IF('Checklist 93 Kontrol'!Y14="","",'Checklist 93 Kontrol'!Y14)</f>
        <v/>
      </c>
      <c r="J14" s="32">
        <f>IF('Checklist 93 Kontrol'!L14="","",'Checklist 93 Kontrol'!L14)</f>
        <v/>
      </c>
      <c r="K14" s="32">
        <f>IF('Checklist 93 Kontrol'!S14="","",'Checklist 93 Kontrol'!S14)</f>
        <v/>
      </c>
      <c r="L14" s="15">
        <f>IF('Checklist 93 Kontrol'!T14="","",'Checklist 93 Kontrol'!T14)</f>
        <v/>
      </c>
      <c r="M14" s="32">
        <f>IF('Checklist 93 Kontrol'!Z14="","",'Checklist 93 Kontrol'!Z14)</f>
        <v/>
      </c>
    </row>
    <row r="15" ht="42" customHeight="1">
      <c r="A15" s="1" t="n"/>
      <c r="B15" s="32">
        <f>IF('Checklist 93 Kontrol'!B15="","",'Checklist 93 Kontrol'!B15)</f>
        <v/>
      </c>
      <c r="C15" s="32">
        <f>IF('Checklist 93 Kontrol'!C15="","",'Checklist 93 Kontrol'!C15)</f>
        <v/>
      </c>
      <c r="D15" s="32">
        <f>IF('Checklist 93 Kontrol'!D15="","",'Checklist 93 Kontrol'!D15)</f>
        <v/>
      </c>
      <c r="E15" s="32">
        <f>IF('Checklist 93 Kontrol'!G15="","",'Checklist 93 Kontrol'!G15)</f>
        <v/>
      </c>
      <c r="F15" s="32">
        <f>IF('Checklist 93 Kontrol'!I15="","",'Checklist 93 Kontrol'!I15)</f>
        <v/>
      </c>
      <c r="G15" s="32">
        <f>IF('Checklist 93 Kontrol'!J15="","",'Checklist 93 Kontrol'!J15)</f>
        <v/>
      </c>
      <c r="H15" s="32">
        <f>IF('Checklist 93 Kontrol'!X15="","",'Checklist 93 Kontrol'!X15)</f>
        <v/>
      </c>
      <c r="I15" s="32">
        <f>IF('Checklist 93 Kontrol'!Y15="","",'Checklist 93 Kontrol'!Y15)</f>
        <v/>
      </c>
      <c r="J15" s="32">
        <f>IF('Checklist 93 Kontrol'!L15="","",'Checklist 93 Kontrol'!L15)</f>
        <v/>
      </c>
      <c r="K15" s="32">
        <f>IF('Checklist 93 Kontrol'!S15="","",'Checklist 93 Kontrol'!S15)</f>
        <v/>
      </c>
      <c r="L15" s="15">
        <f>IF('Checklist 93 Kontrol'!T15="","",'Checklist 93 Kontrol'!T15)</f>
        <v/>
      </c>
      <c r="M15" s="32">
        <f>IF('Checklist 93 Kontrol'!Z15="","",'Checklist 93 Kontrol'!Z15)</f>
        <v/>
      </c>
    </row>
    <row r="16" ht="42" customHeight="1">
      <c r="A16" s="1" t="n"/>
      <c r="B16" s="32">
        <f>IF('Checklist 93 Kontrol'!B16="","",'Checklist 93 Kontrol'!B16)</f>
        <v/>
      </c>
      <c r="C16" s="32">
        <f>IF('Checklist 93 Kontrol'!C16="","",'Checklist 93 Kontrol'!C16)</f>
        <v/>
      </c>
      <c r="D16" s="32">
        <f>IF('Checklist 93 Kontrol'!D16="","",'Checklist 93 Kontrol'!D16)</f>
        <v/>
      </c>
      <c r="E16" s="32">
        <f>IF('Checklist 93 Kontrol'!G16="","",'Checklist 93 Kontrol'!G16)</f>
        <v/>
      </c>
      <c r="F16" s="32">
        <f>IF('Checklist 93 Kontrol'!I16="","",'Checklist 93 Kontrol'!I16)</f>
        <v/>
      </c>
      <c r="G16" s="32">
        <f>IF('Checklist 93 Kontrol'!J16="","",'Checklist 93 Kontrol'!J16)</f>
        <v/>
      </c>
      <c r="H16" s="32">
        <f>IF('Checklist 93 Kontrol'!X16="","",'Checklist 93 Kontrol'!X16)</f>
        <v/>
      </c>
      <c r="I16" s="32">
        <f>IF('Checklist 93 Kontrol'!Y16="","",'Checklist 93 Kontrol'!Y16)</f>
        <v/>
      </c>
      <c r="J16" s="32">
        <f>IF('Checklist 93 Kontrol'!L16="","",'Checklist 93 Kontrol'!L16)</f>
        <v/>
      </c>
      <c r="K16" s="32">
        <f>IF('Checklist 93 Kontrol'!S16="","",'Checklist 93 Kontrol'!S16)</f>
        <v/>
      </c>
      <c r="L16" s="15">
        <f>IF('Checklist 93 Kontrol'!T16="","",'Checklist 93 Kontrol'!T16)</f>
        <v/>
      </c>
      <c r="M16" s="32">
        <f>IF('Checklist 93 Kontrol'!Z16="","",'Checklist 93 Kontrol'!Z16)</f>
        <v/>
      </c>
    </row>
    <row r="17" ht="42" customHeight="1">
      <c r="A17" s="1" t="n"/>
      <c r="B17" s="32">
        <f>IF('Checklist 93 Kontrol'!B17="","",'Checklist 93 Kontrol'!B17)</f>
        <v/>
      </c>
      <c r="C17" s="32">
        <f>IF('Checklist 93 Kontrol'!C17="","",'Checklist 93 Kontrol'!C17)</f>
        <v/>
      </c>
      <c r="D17" s="32">
        <f>IF('Checklist 93 Kontrol'!D17="","",'Checklist 93 Kontrol'!D17)</f>
        <v/>
      </c>
      <c r="E17" s="32">
        <f>IF('Checklist 93 Kontrol'!G17="","",'Checklist 93 Kontrol'!G17)</f>
        <v/>
      </c>
      <c r="F17" s="32">
        <f>IF('Checklist 93 Kontrol'!I17="","",'Checklist 93 Kontrol'!I17)</f>
        <v/>
      </c>
      <c r="G17" s="32">
        <f>IF('Checklist 93 Kontrol'!J17="","",'Checklist 93 Kontrol'!J17)</f>
        <v/>
      </c>
      <c r="H17" s="32">
        <f>IF('Checklist 93 Kontrol'!X17="","",'Checklist 93 Kontrol'!X17)</f>
        <v/>
      </c>
      <c r="I17" s="32">
        <f>IF('Checklist 93 Kontrol'!Y17="","",'Checklist 93 Kontrol'!Y17)</f>
        <v/>
      </c>
      <c r="J17" s="32">
        <f>IF('Checklist 93 Kontrol'!L17="","",'Checklist 93 Kontrol'!L17)</f>
        <v/>
      </c>
      <c r="K17" s="32">
        <f>IF('Checklist 93 Kontrol'!S17="","",'Checklist 93 Kontrol'!S17)</f>
        <v/>
      </c>
      <c r="L17" s="15">
        <f>IF('Checklist 93 Kontrol'!T17="","",'Checklist 93 Kontrol'!T17)</f>
        <v/>
      </c>
      <c r="M17" s="32">
        <f>IF('Checklist 93 Kontrol'!Z17="","",'Checklist 93 Kontrol'!Z17)</f>
        <v/>
      </c>
    </row>
    <row r="18" ht="42" customHeight="1">
      <c r="A18" s="1" t="n"/>
      <c r="B18" s="32">
        <f>IF('Checklist 93 Kontrol'!B18="","",'Checklist 93 Kontrol'!B18)</f>
        <v/>
      </c>
      <c r="C18" s="32">
        <f>IF('Checklist 93 Kontrol'!C18="","",'Checklist 93 Kontrol'!C18)</f>
        <v/>
      </c>
      <c r="D18" s="32">
        <f>IF('Checklist 93 Kontrol'!D18="","",'Checklist 93 Kontrol'!D18)</f>
        <v/>
      </c>
      <c r="E18" s="32">
        <f>IF('Checklist 93 Kontrol'!G18="","",'Checklist 93 Kontrol'!G18)</f>
        <v/>
      </c>
      <c r="F18" s="32">
        <f>IF('Checklist 93 Kontrol'!I18="","",'Checklist 93 Kontrol'!I18)</f>
        <v/>
      </c>
      <c r="G18" s="32">
        <f>IF('Checklist 93 Kontrol'!J18="","",'Checklist 93 Kontrol'!J18)</f>
        <v/>
      </c>
      <c r="H18" s="32">
        <f>IF('Checklist 93 Kontrol'!X18="","",'Checklist 93 Kontrol'!X18)</f>
        <v/>
      </c>
      <c r="I18" s="32">
        <f>IF('Checklist 93 Kontrol'!Y18="","",'Checklist 93 Kontrol'!Y18)</f>
        <v/>
      </c>
      <c r="J18" s="32">
        <f>IF('Checklist 93 Kontrol'!L18="","",'Checklist 93 Kontrol'!L18)</f>
        <v/>
      </c>
      <c r="K18" s="32">
        <f>IF('Checklist 93 Kontrol'!S18="","",'Checklist 93 Kontrol'!S18)</f>
        <v/>
      </c>
      <c r="L18" s="15">
        <f>IF('Checklist 93 Kontrol'!T18="","",'Checklist 93 Kontrol'!T18)</f>
        <v/>
      </c>
      <c r="M18" s="32">
        <f>IF('Checklist 93 Kontrol'!Z18="","",'Checklist 93 Kontrol'!Z18)</f>
        <v/>
      </c>
    </row>
    <row r="19" ht="42" customHeight="1">
      <c r="A19" s="1" t="n"/>
      <c r="B19" s="32">
        <f>IF('Checklist 93 Kontrol'!B19="","",'Checklist 93 Kontrol'!B19)</f>
        <v/>
      </c>
      <c r="C19" s="32">
        <f>IF('Checklist 93 Kontrol'!C19="","",'Checklist 93 Kontrol'!C19)</f>
        <v/>
      </c>
      <c r="D19" s="32">
        <f>IF('Checklist 93 Kontrol'!D19="","",'Checklist 93 Kontrol'!D19)</f>
        <v/>
      </c>
      <c r="E19" s="32">
        <f>IF('Checklist 93 Kontrol'!G19="","",'Checklist 93 Kontrol'!G19)</f>
        <v/>
      </c>
      <c r="F19" s="32">
        <f>IF('Checklist 93 Kontrol'!I19="","",'Checklist 93 Kontrol'!I19)</f>
        <v/>
      </c>
      <c r="G19" s="32">
        <f>IF('Checklist 93 Kontrol'!J19="","",'Checklist 93 Kontrol'!J19)</f>
        <v/>
      </c>
      <c r="H19" s="32">
        <f>IF('Checklist 93 Kontrol'!X19="","",'Checklist 93 Kontrol'!X19)</f>
        <v/>
      </c>
      <c r="I19" s="32">
        <f>IF('Checklist 93 Kontrol'!Y19="","",'Checklist 93 Kontrol'!Y19)</f>
        <v/>
      </c>
      <c r="J19" s="32">
        <f>IF('Checklist 93 Kontrol'!L19="","",'Checklist 93 Kontrol'!L19)</f>
        <v/>
      </c>
      <c r="K19" s="32">
        <f>IF('Checklist 93 Kontrol'!S19="","",'Checklist 93 Kontrol'!S19)</f>
        <v/>
      </c>
      <c r="L19" s="15">
        <f>IF('Checklist 93 Kontrol'!T19="","",'Checklist 93 Kontrol'!T19)</f>
        <v/>
      </c>
      <c r="M19" s="32">
        <f>IF('Checklist 93 Kontrol'!Z19="","",'Checklist 93 Kontrol'!Z19)</f>
        <v/>
      </c>
    </row>
    <row r="20" ht="42" customHeight="1">
      <c r="A20" s="1" t="n"/>
      <c r="B20" s="32">
        <f>IF('Checklist 93 Kontrol'!B20="","",'Checklist 93 Kontrol'!B20)</f>
        <v/>
      </c>
      <c r="C20" s="32">
        <f>IF('Checklist 93 Kontrol'!C20="","",'Checklist 93 Kontrol'!C20)</f>
        <v/>
      </c>
      <c r="D20" s="32">
        <f>IF('Checklist 93 Kontrol'!D20="","",'Checklist 93 Kontrol'!D20)</f>
        <v/>
      </c>
      <c r="E20" s="32">
        <f>IF('Checklist 93 Kontrol'!G20="","",'Checklist 93 Kontrol'!G20)</f>
        <v/>
      </c>
      <c r="F20" s="32">
        <f>IF('Checklist 93 Kontrol'!I20="","",'Checklist 93 Kontrol'!I20)</f>
        <v/>
      </c>
      <c r="G20" s="32">
        <f>IF('Checklist 93 Kontrol'!J20="","",'Checklist 93 Kontrol'!J20)</f>
        <v/>
      </c>
      <c r="H20" s="32">
        <f>IF('Checklist 93 Kontrol'!X20="","",'Checklist 93 Kontrol'!X20)</f>
        <v/>
      </c>
      <c r="I20" s="32">
        <f>IF('Checklist 93 Kontrol'!Y20="","",'Checklist 93 Kontrol'!Y20)</f>
        <v/>
      </c>
      <c r="J20" s="32">
        <f>IF('Checklist 93 Kontrol'!L20="","",'Checklist 93 Kontrol'!L20)</f>
        <v/>
      </c>
      <c r="K20" s="32">
        <f>IF('Checklist 93 Kontrol'!S20="","",'Checklist 93 Kontrol'!S20)</f>
        <v/>
      </c>
      <c r="L20" s="15">
        <f>IF('Checklist 93 Kontrol'!T20="","",'Checklist 93 Kontrol'!T20)</f>
        <v/>
      </c>
      <c r="M20" s="32">
        <f>IF('Checklist 93 Kontrol'!Z20="","",'Checklist 93 Kontrol'!Z20)</f>
        <v/>
      </c>
    </row>
    <row r="21" ht="42" customHeight="1">
      <c r="A21" s="1" t="n"/>
      <c r="B21" s="32">
        <f>IF('Checklist 93 Kontrol'!B21="","",'Checklist 93 Kontrol'!B21)</f>
        <v/>
      </c>
      <c r="C21" s="32">
        <f>IF('Checklist 93 Kontrol'!C21="","",'Checklist 93 Kontrol'!C21)</f>
        <v/>
      </c>
      <c r="D21" s="32">
        <f>IF('Checklist 93 Kontrol'!D21="","",'Checklist 93 Kontrol'!D21)</f>
        <v/>
      </c>
      <c r="E21" s="32">
        <f>IF('Checklist 93 Kontrol'!G21="","",'Checklist 93 Kontrol'!G21)</f>
        <v/>
      </c>
      <c r="F21" s="32">
        <f>IF('Checklist 93 Kontrol'!I21="","",'Checklist 93 Kontrol'!I21)</f>
        <v/>
      </c>
      <c r="G21" s="32">
        <f>IF('Checklist 93 Kontrol'!J21="","",'Checklist 93 Kontrol'!J21)</f>
        <v/>
      </c>
      <c r="H21" s="32">
        <f>IF('Checklist 93 Kontrol'!X21="","",'Checklist 93 Kontrol'!X21)</f>
        <v/>
      </c>
      <c r="I21" s="32">
        <f>IF('Checklist 93 Kontrol'!Y21="","",'Checklist 93 Kontrol'!Y21)</f>
        <v/>
      </c>
      <c r="J21" s="32">
        <f>IF('Checklist 93 Kontrol'!L21="","",'Checklist 93 Kontrol'!L21)</f>
        <v/>
      </c>
      <c r="K21" s="32">
        <f>IF('Checklist 93 Kontrol'!S21="","",'Checklist 93 Kontrol'!S21)</f>
        <v/>
      </c>
      <c r="L21" s="15">
        <f>IF('Checklist 93 Kontrol'!T21="","",'Checklist 93 Kontrol'!T21)</f>
        <v/>
      </c>
      <c r="M21" s="32">
        <f>IF('Checklist 93 Kontrol'!Z21="","",'Checklist 93 Kontrol'!Z21)</f>
        <v/>
      </c>
    </row>
    <row r="22" ht="42" customHeight="1">
      <c r="A22" s="1" t="n"/>
      <c r="B22" s="32">
        <f>IF('Checklist 93 Kontrol'!B22="","",'Checklist 93 Kontrol'!B22)</f>
        <v/>
      </c>
      <c r="C22" s="32">
        <f>IF('Checklist 93 Kontrol'!C22="","",'Checklist 93 Kontrol'!C22)</f>
        <v/>
      </c>
      <c r="D22" s="32">
        <f>IF('Checklist 93 Kontrol'!D22="","",'Checklist 93 Kontrol'!D22)</f>
        <v/>
      </c>
      <c r="E22" s="32">
        <f>IF('Checklist 93 Kontrol'!G22="","",'Checklist 93 Kontrol'!G22)</f>
        <v/>
      </c>
      <c r="F22" s="32">
        <f>IF('Checklist 93 Kontrol'!I22="","",'Checklist 93 Kontrol'!I22)</f>
        <v/>
      </c>
      <c r="G22" s="32">
        <f>IF('Checklist 93 Kontrol'!J22="","",'Checklist 93 Kontrol'!J22)</f>
        <v/>
      </c>
      <c r="H22" s="32">
        <f>IF('Checklist 93 Kontrol'!X22="","",'Checklist 93 Kontrol'!X22)</f>
        <v/>
      </c>
      <c r="I22" s="32">
        <f>IF('Checklist 93 Kontrol'!Y22="","",'Checklist 93 Kontrol'!Y22)</f>
        <v/>
      </c>
      <c r="J22" s="32">
        <f>IF('Checklist 93 Kontrol'!L22="","",'Checklist 93 Kontrol'!L22)</f>
        <v/>
      </c>
      <c r="K22" s="32">
        <f>IF('Checklist 93 Kontrol'!S22="","",'Checklist 93 Kontrol'!S22)</f>
        <v/>
      </c>
      <c r="L22" s="15">
        <f>IF('Checklist 93 Kontrol'!T22="","",'Checklist 93 Kontrol'!T22)</f>
        <v/>
      </c>
      <c r="M22" s="32">
        <f>IF('Checklist 93 Kontrol'!Z22="","",'Checklist 93 Kontrol'!Z22)</f>
        <v/>
      </c>
    </row>
    <row r="23" ht="42" customHeight="1">
      <c r="A23" s="1" t="n"/>
      <c r="B23" s="32">
        <f>IF('Checklist 93 Kontrol'!B23="","",'Checklist 93 Kontrol'!B23)</f>
        <v/>
      </c>
      <c r="C23" s="32">
        <f>IF('Checklist 93 Kontrol'!C23="","",'Checklist 93 Kontrol'!C23)</f>
        <v/>
      </c>
      <c r="D23" s="32">
        <f>IF('Checklist 93 Kontrol'!D23="","",'Checklist 93 Kontrol'!D23)</f>
        <v/>
      </c>
      <c r="E23" s="32">
        <f>IF('Checklist 93 Kontrol'!G23="","",'Checklist 93 Kontrol'!G23)</f>
        <v/>
      </c>
      <c r="F23" s="32">
        <f>IF('Checklist 93 Kontrol'!I23="","",'Checklist 93 Kontrol'!I23)</f>
        <v/>
      </c>
      <c r="G23" s="32">
        <f>IF('Checklist 93 Kontrol'!J23="","",'Checklist 93 Kontrol'!J23)</f>
        <v/>
      </c>
      <c r="H23" s="32">
        <f>IF('Checklist 93 Kontrol'!X23="","",'Checklist 93 Kontrol'!X23)</f>
        <v/>
      </c>
      <c r="I23" s="32">
        <f>IF('Checklist 93 Kontrol'!Y23="","",'Checklist 93 Kontrol'!Y23)</f>
        <v/>
      </c>
      <c r="J23" s="32">
        <f>IF('Checklist 93 Kontrol'!L23="","",'Checklist 93 Kontrol'!L23)</f>
        <v/>
      </c>
      <c r="K23" s="32">
        <f>IF('Checklist 93 Kontrol'!S23="","",'Checklist 93 Kontrol'!S23)</f>
        <v/>
      </c>
      <c r="L23" s="15">
        <f>IF('Checklist 93 Kontrol'!T23="","",'Checklist 93 Kontrol'!T23)</f>
        <v/>
      </c>
      <c r="M23" s="32">
        <f>IF('Checklist 93 Kontrol'!Z23="","",'Checklist 93 Kontrol'!Z23)</f>
        <v/>
      </c>
    </row>
    <row r="24" ht="42" customHeight="1">
      <c r="A24" s="1" t="n"/>
      <c r="B24" s="32">
        <f>IF('Checklist 93 Kontrol'!B24="","",'Checklist 93 Kontrol'!B24)</f>
        <v/>
      </c>
      <c r="C24" s="32">
        <f>IF('Checklist 93 Kontrol'!C24="","",'Checklist 93 Kontrol'!C24)</f>
        <v/>
      </c>
      <c r="D24" s="32">
        <f>IF('Checklist 93 Kontrol'!D24="","",'Checklist 93 Kontrol'!D24)</f>
        <v/>
      </c>
      <c r="E24" s="32">
        <f>IF('Checklist 93 Kontrol'!G24="","",'Checklist 93 Kontrol'!G24)</f>
        <v/>
      </c>
      <c r="F24" s="32">
        <f>IF('Checklist 93 Kontrol'!I24="","",'Checklist 93 Kontrol'!I24)</f>
        <v/>
      </c>
      <c r="G24" s="32">
        <f>IF('Checklist 93 Kontrol'!J24="","",'Checklist 93 Kontrol'!J24)</f>
        <v/>
      </c>
      <c r="H24" s="32">
        <f>IF('Checklist 93 Kontrol'!X24="","",'Checklist 93 Kontrol'!X24)</f>
        <v/>
      </c>
      <c r="I24" s="32">
        <f>IF('Checklist 93 Kontrol'!Y24="","",'Checklist 93 Kontrol'!Y24)</f>
        <v/>
      </c>
      <c r="J24" s="32">
        <f>IF('Checklist 93 Kontrol'!L24="","",'Checklist 93 Kontrol'!L24)</f>
        <v/>
      </c>
      <c r="K24" s="32">
        <f>IF('Checklist 93 Kontrol'!S24="","",'Checklist 93 Kontrol'!S24)</f>
        <v/>
      </c>
      <c r="L24" s="15">
        <f>IF('Checklist 93 Kontrol'!T24="","",'Checklist 93 Kontrol'!T24)</f>
        <v/>
      </c>
      <c r="M24" s="32">
        <f>IF('Checklist 93 Kontrol'!Z24="","",'Checklist 93 Kontrol'!Z24)</f>
        <v/>
      </c>
    </row>
    <row r="25" ht="42" customHeight="1">
      <c r="A25" s="1" t="n"/>
      <c r="B25" s="32">
        <f>IF('Checklist 93 Kontrol'!B25="","",'Checklist 93 Kontrol'!B25)</f>
        <v/>
      </c>
      <c r="C25" s="32">
        <f>IF('Checklist 93 Kontrol'!C25="","",'Checklist 93 Kontrol'!C25)</f>
        <v/>
      </c>
      <c r="D25" s="32">
        <f>IF('Checklist 93 Kontrol'!D25="","",'Checklist 93 Kontrol'!D25)</f>
        <v/>
      </c>
      <c r="E25" s="32">
        <f>IF('Checklist 93 Kontrol'!G25="","",'Checklist 93 Kontrol'!G25)</f>
        <v/>
      </c>
      <c r="F25" s="32">
        <f>IF('Checklist 93 Kontrol'!I25="","",'Checklist 93 Kontrol'!I25)</f>
        <v/>
      </c>
      <c r="G25" s="32">
        <f>IF('Checklist 93 Kontrol'!J25="","",'Checklist 93 Kontrol'!J25)</f>
        <v/>
      </c>
      <c r="H25" s="32">
        <f>IF('Checklist 93 Kontrol'!X25="","",'Checklist 93 Kontrol'!X25)</f>
        <v/>
      </c>
      <c r="I25" s="32">
        <f>IF('Checklist 93 Kontrol'!Y25="","",'Checklist 93 Kontrol'!Y25)</f>
        <v/>
      </c>
      <c r="J25" s="32">
        <f>IF('Checklist 93 Kontrol'!L25="","",'Checklist 93 Kontrol'!L25)</f>
        <v/>
      </c>
      <c r="K25" s="32">
        <f>IF('Checklist 93 Kontrol'!S25="","",'Checklist 93 Kontrol'!S25)</f>
        <v/>
      </c>
      <c r="L25" s="15">
        <f>IF('Checklist 93 Kontrol'!T25="","",'Checklist 93 Kontrol'!T25)</f>
        <v/>
      </c>
      <c r="M25" s="32">
        <f>IF('Checklist 93 Kontrol'!Z25="","",'Checklist 93 Kontrol'!Z25)</f>
        <v/>
      </c>
    </row>
    <row r="26" ht="42" customHeight="1">
      <c r="A26" s="1" t="n"/>
      <c r="B26" s="32">
        <f>IF('Checklist 93 Kontrol'!B26="","",'Checklist 93 Kontrol'!B26)</f>
        <v/>
      </c>
      <c r="C26" s="32">
        <f>IF('Checklist 93 Kontrol'!C26="","",'Checklist 93 Kontrol'!C26)</f>
        <v/>
      </c>
      <c r="D26" s="32">
        <f>IF('Checklist 93 Kontrol'!D26="","",'Checklist 93 Kontrol'!D26)</f>
        <v/>
      </c>
      <c r="E26" s="32">
        <f>IF('Checklist 93 Kontrol'!G26="","",'Checklist 93 Kontrol'!G26)</f>
        <v/>
      </c>
      <c r="F26" s="32">
        <f>IF('Checklist 93 Kontrol'!I26="","",'Checklist 93 Kontrol'!I26)</f>
        <v/>
      </c>
      <c r="G26" s="32">
        <f>IF('Checklist 93 Kontrol'!J26="","",'Checklist 93 Kontrol'!J26)</f>
        <v/>
      </c>
      <c r="H26" s="32">
        <f>IF('Checklist 93 Kontrol'!X26="","",'Checklist 93 Kontrol'!X26)</f>
        <v/>
      </c>
      <c r="I26" s="32">
        <f>IF('Checklist 93 Kontrol'!Y26="","",'Checklist 93 Kontrol'!Y26)</f>
        <v/>
      </c>
      <c r="J26" s="32">
        <f>IF('Checklist 93 Kontrol'!L26="","",'Checklist 93 Kontrol'!L26)</f>
        <v/>
      </c>
      <c r="K26" s="32">
        <f>IF('Checklist 93 Kontrol'!S26="","",'Checklist 93 Kontrol'!S26)</f>
        <v/>
      </c>
      <c r="L26" s="15">
        <f>IF('Checklist 93 Kontrol'!T26="","",'Checklist 93 Kontrol'!T26)</f>
        <v/>
      </c>
      <c r="M26" s="32">
        <f>IF('Checklist 93 Kontrol'!Z26="","",'Checklist 93 Kontrol'!Z26)</f>
        <v/>
      </c>
    </row>
    <row r="27" ht="42" customHeight="1">
      <c r="A27" s="1" t="n"/>
      <c r="B27" s="32">
        <f>IF('Checklist 93 Kontrol'!B27="","",'Checklist 93 Kontrol'!B27)</f>
        <v/>
      </c>
      <c r="C27" s="32">
        <f>IF('Checklist 93 Kontrol'!C27="","",'Checklist 93 Kontrol'!C27)</f>
        <v/>
      </c>
      <c r="D27" s="32">
        <f>IF('Checklist 93 Kontrol'!D27="","",'Checklist 93 Kontrol'!D27)</f>
        <v/>
      </c>
      <c r="E27" s="32">
        <f>IF('Checklist 93 Kontrol'!G27="","",'Checklist 93 Kontrol'!G27)</f>
        <v/>
      </c>
      <c r="F27" s="32">
        <f>IF('Checklist 93 Kontrol'!I27="","",'Checklist 93 Kontrol'!I27)</f>
        <v/>
      </c>
      <c r="G27" s="32">
        <f>IF('Checklist 93 Kontrol'!J27="","",'Checklist 93 Kontrol'!J27)</f>
        <v/>
      </c>
      <c r="H27" s="32">
        <f>IF('Checklist 93 Kontrol'!X27="","",'Checklist 93 Kontrol'!X27)</f>
        <v/>
      </c>
      <c r="I27" s="32">
        <f>IF('Checklist 93 Kontrol'!Y27="","",'Checklist 93 Kontrol'!Y27)</f>
        <v/>
      </c>
      <c r="J27" s="32">
        <f>IF('Checklist 93 Kontrol'!L27="","",'Checklist 93 Kontrol'!L27)</f>
        <v/>
      </c>
      <c r="K27" s="32">
        <f>IF('Checklist 93 Kontrol'!S27="","",'Checklist 93 Kontrol'!S27)</f>
        <v/>
      </c>
      <c r="L27" s="15">
        <f>IF('Checklist 93 Kontrol'!T27="","",'Checklist 93 Kontrol'!T27)</f>
        <v/>
      </c>
      <c r="M27" s="32">
        <f>IF('Checklist 93 Kontrol'!Z27="","",'Checklist 93 Kontrol'!Z27)</f>
        <v/>
      </c>
    </row>
    <row r="28" ht="42" customHeight="1">
      <c r="A28" s="1" t="n"/>
      <c r="B28" s="32">
        <f>IF('Checklist 93 Kontrol'!B28="","",'Checklist 93 Kontrol'!B28)</f>
        <v/>
      </c>
      <c r="C28" s="32">
        <f>IF('Checklist 93 Kontrol'!C28="","",'Checklist 93 Kontrol'!C28)</f>
        <v/>
      </c>
      <c r="D28" s="32">
        <f>IF('Checklist 93 Kontrol'!D28="","",'Checklist 93 Kontrol'!D28)</f>
        <v/>
      </c>
      <c r="E28" s="32">
        <f>IF('Checklist 93 Kontrol'!G28="","",'Checklist 93 Kontrol'!G28)</f>
        <v/>
      </c>
      <c r="F28" s="32">
        <f>IF('Checklist 93 Kontrol'!I28="","",'Checklist 93 Kontrol'!I28)</f>
        <v/>
      </c>
      <c r="G28" s="32">
        <f>IF('Checklist 93 Kontrol'!J28="","",'Checklist 93 Kontrol'!J28)</f>
        <v/>
      </c>
      <c r="H28" s="32">
        <f>IF('Checklist 93 Kontrol'!X28="","",'Checklist 93 Kontrol'!X28)</f>
        <v/>
      </c>
      <c r="I28" s="32">
        <f>IF('Checklist 93 Kontrol'!Y28="","",'Checklist 93 Kontrol'!Y28)</f>
        <v/>
      </c>
      <c r="J28" s="32">
        <f>IF('Checklist 93 Kontrol'!L28="","",'Checklist 93 Kontrol'!L28)</f>
        <v/>
      </c>
      <c r="K28" s="32">
        <f>IF('Checklist 93 Kontrol'!S28="","",'Checklist 93 Kontrol'!S28)</f>
        <v/>
      </c>
      <c r="L28" s="15">
        <f>IF('Checklist 93 Kontrol'!T28="","",'Checklist 93 Kontrol'!T28)</f>
        <v/>
      </c>
      <c r="M28" s="32">
        <f>IF('Checklist 93 Kontrol'!Z28="","",'Checklist 93 Kontrol'!Z28)</f>
        <v/>
      </c>
    </row>
    <row r="29" ht="42" customHeight="1">
      <c r="A29" s="1" t="n"/>
      <c r="B29" s="32">
        <f>IF('Checklist 93 Kontrol'!B29="","",'Checklist 93 Kontrol'!B29)</f>
        <v/>
      </c>
      <c r="C29" s="32">
        <f>IF('Checklist 93 Kontrol'!C29="","",'Checklist 93 Kontrol'!C29)</f>
        <v/>
      </c>
      <c r="D29" s="32">
        <f>IF('Checklist 93 Kontrol'!D29="","",'Checklist 93 Kontrol'!D29)</f>
        <v/>
      </c>
      <c r="E29" s="32">
        <f>IF('Checklist 93 Kontrol'!G29="","",'Checklist 93 Kontrol'!G29)</f>
        <v/>
      </c>
      <c r="F29" s="32">
        <f>IF('Checklist 93 Kontrol'!I29="","",'Checklist 93 Kontrol'!I29)</f>
        <v/>
      </c>
      <c r="G29" s="32">
        <f>IF('Checklist 93 Kontrol'!J29="","",'Checklist 93 Kontrol'!J29)</f>
        <v/>
      </c>
      <c r="H29" s="32">
        <f>IF('Checklist 93 Kontrol'!X29="","",'Checklist 93 Kontrol'!X29)</f>
        <v/>
      </c>
      <c r="I29" s="32">
        <f>IF('Checklist 93 Kontrol'!Y29="","",'Checklist 93 Kontrol'!Y29)</f>
        <v/>
      </c>
      <c r="J29" s="32">
        <f>IF('Checklist 93 Kontrol'!L29="","",'Checklist 93 Kontrol'!L29)</f>
        <v/>
      </c>
      <c r="K29" s="32">
        <f>IF('Checklist 93 Kontrol'!S29="","",'Checklist 93 Kontrol'!S29)</f>
        <v/>
      </c>
      <c r="L29" s="15">
        <f>IF('Checklist 93 Kontrol'!T29="","",'Checklist 93 Kontrol'!T29)</f>
        <v/>
      </c>
      <c r="M29" s="32">
        <f>IF('Checklist 93 Kontrol'!Z29="","",'Checklist 93 Kontrol'!Z29)</f>
        <v/>
      </c>
    </row>
    <row r="30" ht="42" customHeight="1">
      <c r="A30" s="1" t="n"/>
      <c r="B30" s="32">
        <f>IF('Checklist 93 Kontrol'!B30="","",'Checklist 93 Kontrol'!B30)</f>
        <v/>
      </c>
      <c r="C30" s="32">
        <f>IF('Checklist 93 Kontrol'!C30="","",'Checklist 93 Kontrol'!C30)</f>
        <v/>
      </c>
      <c r="D30" s="32">
        <f>IF('Checklist 93 Kontrol'!D30="","",'Checklist 93 Kontrol'!D30)</f>
        <v/>
      </c>
      <c r="E30" s="32">
        <f>IF('Checklist 93 Kontrol'!G30="","",'Checklist 93 Kontrol'!G30)</f>
        <v/>
      </c>
      <c r="F30" s="32">
        <f>IF('Checklist 93 Kontrol'!I30="","",'Checklist 93 Kontrol'!I30)</f>
        <v/>
      </c>
      <c r="G30" s="32">
        <f>IF('Checklist 93 Kontrol'!J30="","",'Checklist 93 Kontrol'!J30)</f>
        <v/>
      </c>
      <c r="H30" s="32">
        <f>IF('Checklist 93 Kontrol'!X30="","",'Checklist 93 Kontrol'!X30)</f>
        <v/>
      </c>
      <c r="I30" s="32">
        <f>IF('Checklist 93 Kontrol'!Y30="","",'Checklist 93 Kontrol'!Y30)</f>
        <v/>
      </c>
      <c r="J30" s="32">
        <f>IF('Checklist 93 Kontrol'!L30="","",'Checklist 93 Kontrol'!L30)</f>
        <v/>
      </c>
      <c r="K30" s="32">
        <f>IF('Checklist 93 Kontrol'!S30="","",'Checklist 93 Kontrol'!S30)</f>
        <v/>
      </c>
      <c r="L30" s="15">
        <f>IF('Checklist 93 Kontrol'!T30="","",'Checklist 93 Kontrol'!T30)</f>
        <v/>
      </c>
      <c r="M30" s="32">
        <f>IF('Checklist 93 Kontrol'!Z30="","",'Checklist 93 Kontrol'!Z30)</f>
        <v/>
      </c>
    </row>
    <row r="31" ht="42" customHeight="1">
      <c r="A31" s="1" t="n"/>
      <c r="B31" s="32">
        <f>IF('Checklist 93 Kontrol'!B31="","",'Checklist 93 Kontrol'!B31)</f>
        <v/>
      </c>
      <c r="C31" s="32">
        <f>IF('Checklist 93 Kontrol'!C31="","",'Checklist 93 Kontrol'!C31)</f>
        <v/>
      </c>
      <c r="D31" s="32">
        <f>IF('Checklist 93 Kontrol'!D31="","",'Checklist 93 Kontrol'!D31)</f>
        <v/>
      </c>
      <c r="E31" s="32">
        <f>IF('Checklist 93 Kontrol'!G31="","",'Checklist 93 Kontrol'!G31)</f>
        <v/>
      </c>
      <c r="F31" s="32">
        <f>IF('Checklist 93 Kontrol'!I31="","",'Checklist 93 Kontrol'!I31)</f>
        <v/>
      </c>
      <c r="G31" s="32">
        <f>IF('Checklist 93 Kontrol'!J31="","",'Checklist 93 Kontrol'!J31)</f>
        <v/>
      </c>
      <c r="H31" s="32">
        <f>IF('Checklist 93 Kontrol'!X31="","",'Checklist 93 Kontrol'!X31)</f>
        <v/>
      </c>
      <c r="I31" s="32">
        <f>IF('Checklist 93 Kontrol'!Y31="","",'Checklist 93 Kontrol'!Y31)</f>
        <v/>
      </c>
      <c r="J31" s="32">
        <f>IF('Checklist 93 Kontrol'!L31="","",'Checklist 93 Kontrol'!L31)</f>
        <v/>
      </c>
      <c r="K31" s="32">
        <f>IF('Checklist 93 Kontrol'!S31="","",'Checklist 93 Kontrol'!S31)</f>
        <v/>
      </c>
      <c r="L31" s="15">
        <f>IF('Checklist 93 Kontrol'!T31="","",'Checklist 93 Kontrol'!T31)</f>
        <v/>
      </c>
      <c r="M31" s="32">
        <f>IF('Checklist 93 Kontrol'!Z31="","",'Checklist 93 Kontrol'!Z31)</f>
        <v/>
      </c>
    </row>
    <row r="32" ht="42" customHeight="1">
      <c r="A32" s="1" t="n"/>
      <c r="B32" s="32">
        <f>IF('Checklist 93 Kontrol'!B32="","",'Checklist 93 Kontrol'!B32)</f>
        <v/>
      </c>
      <c r="C32" s="32">
        <f>IF('Checklist 93 Kontrol'!C32="","",'Checklist 93 Kontrol'!C32)</f>
        <v/>
      </c>
      <c r="D32" s="32">
        <f>IF('Checklist 93 Kontrol'!D32="","",'Checklist 93 Kontrol'!D32)</f>
        <v/>
      </c>
      <c r="E32" s="32">
        <f>IF('Checklist 93 Kontrol'!G32="","",'Checklist 93 Kontrol'!G32)</f>
        <v/>
      </c>
      <c r="F32" s="32">
        <f>IF('Checklist 93 Kontrol'!I32="","",'Checklist 93 Kontrol'!I32)</f>
        <v/>
      </c>
      <c r="G32" s="32">
        <f>IF('Checklist 93 Kontrol'!J32="","",'Checklist 93 Kontrol'!J32)</f>
        <v/>
      </c>
      <c r="H32" s="32">
        <f>IF('Checklist 93 Kontrol'!X32="","",'Checklist 93 Kontrol'!X32)</f>
        <v/>
      </c>
      <c r="I32" s="32">
        <f>IF('Checklist 93 Kontrol'!Y32="","",'Checklist 93 Kontrol'!Y32)</f>
        <v/>
      </c>
      <c r="J32" s="32">
        <f>IF('Checklist 93 Kontrol'!L32="","",'Checklist 93 Kontrol'!L32)</f>
        <v/>
      </c>
      <c r="K32" s="32">
        <f>IF('Checklist 93 Kontrol'!S32="","",'Checklist 93 Kontrol'!S32)</f>
        <v/>
      </c>
      <c r="L32" s="15">
        <f>IF('Checklist 93 Kontrol'!T32="","",'Checklist 93 Kontrol'!T32)</f>
        <v/>
      </c>
      <c r="M32" s="32">
        <f>IF('Checklist 93 Kontrol'!Z32="","",'Checklist 93 Kontrol'!Z32)</f>
        <v/>
      </c>
    </row>
    <row r="33" ht="42" customHeight="1">
      <c r="A33" s="1" t="n"/>
      <c r="B33" s="32">
        <f>IF('Checklist 93 Kontrol'!B33="","",'Checklist 93 Kontrol'!B33)</f>
        <v/>
      </c>
      <c r="C33" s="32">
        <f>IF('Checklist 93 Kontrol'!C33="","",'Checklist 93 Kontrol'!C33)</f>
        <v/>
      </c>
      <c r="D33" s="32">
        <f>IF('Checklist 93 Kontrol'!D33="","",'Checklist 93 Kontrol'!D33)</f>
        <v/>
      </c>
      <c r="E33" s="32">
        <f>IF('Checklist 93 Kontrol'!G33="","",'Checklist 93 Kontrol'!G33)</f>
        <v/>
      </c>
      <c r="F33" s="32">
        <f>IF('Checklist 93 Kontrol'!I33="","",'Checklist 93 Kontrol'!I33)</f>
        <v/>
      </c>
      <c r="G33" s="32">
        <f>IF('Checklist 93 Kontrol'!J33="","",'Checklist 93 Kontrol'!J33)</f>
        <v/>
      </c>
      <c r="H33" s="32">
        <f>IF('Checklist 93 Kontrol'!X33="","",'Checklist 93 Kontrol'!X33)</f>
        <v/>
      </c>
      <c r="I33" s="32">
        <f>IF('Checklist 93 Kontrol'!Y33="","",'Checklist 93 Kontrol'!Y33)</f>
        <v/>
      </c>
      <c r="J33" s="32">
        <f>IF('Checklist 93 Kontrol'!L33="","",'Checklist 93 Kontrol'!L33)</f>
        <v/>
      </c>
      <c r="K33" s="32">
        <f>IF('Checklist 93 Kontrol'!S33="","",'Checklist 93 Kontrol'!S33)</f>
        <v/>
      </c>
      <c r="L33" s="15">
        <f>IF('Checklist 93 Kontrol'!T33="","",'Checklist 93 Kontrol'!T33)</f>
        <v/>
      </c>
      <c r="M33" s="32">
        <f>IF('Checklist 93 Kontrol'!Z33="","",'Checklist 93 Kontrol'!Z33)</f>
        <v/>
      </c>
    </row>
    <row r="34" ht="42" customHeight="1">
      <c r="A34" s="1" t="n"/>
      <c r="B34" s="32">
        <f>IF('Checklist 93 Kontrol'!B34="","",'Checklist 93 Kontrol'!B34)</f>
        <v/>
      </c>
      <c r="C34" s="32">
        <f>IF('Checklist 93 Kontrol'!C34="","",'Checklist 93 Kontrol'!C34)</f>
        <v/>
      </c>
      <c r="D34" s="32">
        <f>IF('Checklist 93 Kontrol'!D34="","",'Checklist 93 Kontrol'!D34)</f>
        <v/>
      </c>
      <c r="E34" s="32">
        <f>IF('Checklist 93 Kontrol'!G34="","",'Checklist 93 Kontrol'!G34)</f>
        <v/>
      </c>
      <c r="F34" s="32">
        <f>IF('Checklist 93 Kontrol'!I34="","",'Checklist 93 Kontrol'!I34)</f>
        <v/>
      </c>
      <c r="G34" s="32">
        <f>IF('Checklist 93 Kontrol'!J34="","",'Checklist 93 Kontrol'!J34)</f>
        <v/>
      </c>
      <c r="H34" s="32">
        <f>IF('Checklist 93 Kontrol'!X34="","",'Checklist 93 Kontrol'!X34)</f>
        <v/>
      </c>
      <c r="I34" s="32">
        <f>IF('Checklist 93 Kontrol'!Y34="","",'Checklist 93 Kontrol'!Y34)</f>
        <v/>
      </c>
      <c r="J34" s="32">
        <f>IF('Checklist 93 Kontrol'!L34="","",'Checklist 93 Kontrol'!L34)</f>
        <v/>
      </c>
      <c r="K34" s="32">
        <f>IF('Checklist 93 Kontrol'!S34="","",'Checklist 93 Kontrol'!S34)</f>
        <v/>
      </c>
      <c r="L34" s="15">
        <f>IF('Checklist 93 Kontrol'!T34="","",'Checklist 93 Kontrol'!T34)</f>
        <v/>
      </c>
      <c r="M34" s="32">
        <f>IF('Checklist 93 Kontrol'!Z34="","",'Checklist 93 Kontrol'!Z34)</f>
        <v/>
      </c>
    </row>
    <row r="35" ht="42" customHeight="1">
      <c r="A35" s="1" t="n"/>
      <c r="B35" s="32">
        <f>IF('Checklist 93 Kontrol'!B35="","",'Checklist 93 Kontrol'!B35)</f>
        <v/>
      </c>
      <c r="C35" s="32">
        <f>IF('Checklist 93 Kontrol'!C35="","",'Checklist 93 Kontrol'!C35)</f>
        <v/>
      </c>
      <c r="D35" s="32">
        <f>IF('Checklist 93 Kontrol'!D35="","",'Checklist 93 Kontrol'!D35)</f>
        <v/>
      </c>
      <c r="E35" s="32">
        <f>IF('Checklist 93 Kontrol'!G35="","",'Checklist 93 Kontrol'!G35)</f>
        <v/>
      </c>
      <c r="F35" s="32">
        <f>IF('Checklist 93 Kontrol'!I35="","",'Checklist 93 Kontrol'!I35)</f>
        <v/>
      </c>
      <c r="G35" s="32">
        <f>IF('Checklist 93 Kontrol'!J35="","",'Checklist 93 Kontrol'!J35)</f>
        <v/>
      </c>
      <c r="H35" s="32">
        <f>IF('Checklist 93 Kontrol'!X35="","",'Checklist 93 Kontrol'!X35)</f>
        <v/>
      </c>
      <c r="I35" s="32">
        <f>IF('Checklist 93 Kontrol'!Y35="","",'Checklist 93 Kontrol'!Y35)</f>
        <v/>
      </c>
      <c r="J35" s="32">
        <f>IF('Checklist 93 Kontrol'!L35="","",'Checklist 93 Kontrol'!L35)</f>
        <v/>
      </c>
      <c r="K35" s="32">
        <f>IF('Checklist 93 Kontrol'!S35="","",'Checklist 93 Kontrol'!S35)</f>
        <v/>
      </c>
      <c r="L35" s="15">
        <f>IF('Checklist 93 Kontrol'!T35="","",'Checklist 93 Kontrol'!T35)</f>
        <v/>
      </c>
      <c r="M35" s="32">
        <f>IF('Checklist 93 Kontrol'!Z35="","",'Checklist 93 Kontrol'!Z35)</f>
        <v/>
      </c>
    </row>
    <row r="36" ht="42" customHeight="1">
      <c r="A36" s="1" t="n"/>
      <c r="B36" s="32">
        <f>IF('Checklist 93 Kontrol'!B36="","",'Checklist 93 Kontrol'!B36)</f>
        <v/>
      </c>
      <c r="C36" s="32">
        <f>IF('Checklist 93 Kontrol'!C36="","",'Checklist 93 Kontrol'!C36)</f>
        <v/>
      </c>
      <c r="D36" s="32">
        <f>IF('Checklist 93 Kontrol'!D36="","",'Checklist 93 Kontrol'!D36)</f>
        <v/>
      </c>
      <c r="E36" s="32">
        <f>IF('Checklist 93 Kontrol'!G36="","",'Checklist 93 Kontrol'!G36)</f>
        <v/>
      </c>
      <c r="F36" s="32">
        <f>IF('Checklist 93 Kontrol'!I36="","",'Checklist 93 Kontrol'!I36)</f>
        <v/>
      </c>
      <c r="G36" s="32">
        <f>IF('Checklist 93 Kontrol'!J36="","",'Checklist 93 Kontrol'!J36)</f>
        <v/>
      </c>
      <c r="H36" s="32">
        <f>IF('Checklist 93 Kontrol'!X36="","",'Checklist 93 Kontrol'!X36)</f>
        <v/>
      </c>
      <c r="I36" s="32">
        <f>IF('Checklist 93 Kontrol'!Y36="","",'Checklist 93 Kontrol'!Y36)</f>
        <v/>
      </c>
      <c r="J36" s="32">
        <f>IF('Checklist 93 Kontrol'!L36="","",'Checklist 93 Kontrol'!L36)</f>
        <v/>
      </c>
      <c r="K36" s="32">
        <f>IF('Checklist 93 Kontrol'!S36="","",'Checklist 93 Kontrol'!S36)</f>
        <v/>
      </c>
      <c r="L36" s="15">
        <f>IF('Checklist 93 Kontrol'!T36="","",'Checklist 93 Kontrol'!T36)</f>
        <v/>
      </c>
      <c r="M36" s="32">
        <f>IF('Checklist 93 Kontrol'!Z36="","",'Checklist 93 Kontrol'!Z36)</f>
        <v/>
      </c>
    </row>
    <row r="37" ht="42" customHeight="1">
      <c r="A37" s="1" t="n"/>
      <c r="B37" s="32">
        <f>IF('Checklist 93 Kontrol'!B37="","",'Checklist 93 Kontrol'!B37)</f>
        <v/>
      </c>
      <c r="C37" s="32">
        <f>IF('Checklist 93 Kontrol'!C37="","",'Checklist 93 Kontrol'!C37)</f>
        <v/>
      </c>
      <c r="D37" s="32">
        <f>IF('Checklist 93 Kontrol'!D37="","",'Checklist 93 Kontrol'!D37)</f>
        <v/>
      </c>
      <c r="E37" s="32">
        <f>IF('Checklist 93 Kontrol'!G37="","",'Checklist 93 Kontrol'!G37)</f>
        <v/>
      </c>
      <c r="F37" s="32">
        <f>IF('Checklist 93 Kontrol'!I37="","",'Checklist 93 Kontrol'!I37)</f>
        <v/>
      </c>
      <c r="G37" s="32">
        <f>IF('Checklist 93 Kontrol'!J37="","",'Checklist 93 Kontrol'!J37)</f>
        <v/>
      </c>
      <c r="H37" s="32">
        <f>IF('Checklist 93 Kontrol'!X37="","",'Checklist 93 Kontrol'!X37)</f>
        <v/>
      </c>
      <c r="I37" s="32">
        <f>IF('Checklist 93 Kontrol'!Y37="","",'Checklist 93 Kontrol'!Y37)</f>
        <v/>
      </c>
      <c r="J37" s="32">
        <f>IF('Checklist 93 Kontrol'!L37="","",'Checklist 93 Kontrol'!L37)</f>
        <v/>
      </c>
      <c r="K37" s="32">
        <f>IF('Checklist 93 Kontrol'!S37="","",'Checklist 93 Kontrol'!S37)</f>
        <v/>
      </c>
      <c r="L37" s="15">
        <f>IF('Checklist 93 Kontrol'!T37="","",'Checklist 93 Kontrol'!T37)</f>
        <v/>
      </c>
      <c r="M37" s="32">
        <f>IF('Checklist 93 Kontrol'!Z37="","",'Checklist 93 Kontrol'!Z37)</f>
        <v/>
      </c>
    </row>
    <row r="38" ht="42" customHeight="1">
      <c r="A38" s="1" t="n"/>
      <c r="B38" s="32">
        <f>IF('Checklist 93 Kontrol'!B38="","",'Checklist 93 Kontrol'!B38)</f>
        <v/>
      </c>
      <c r="C38" s="32">
        <f>IF('Checklist 93 Kontrol'!C38="","",'Checklist 93 Kontrol'!C38)</f>
        <v/>
      </c>
      <c r="D38" s="32">
        <f>IF('Checklist 93 Kontrol'!D38="","",'Checklist 93 Kontrol'!D38)</f>
        <v/>
      </c>
      <c r="E38" s="32">
        <f>IF('Checklist 93 Kontrol'!G38="","",'Checklist 93 Kontrol'!G38)</f>
        <v/>
      </c>
      <c r="F38" s="32">
        <f>IF('Checklist 93 Kontrol'!I38="","",'Checklist 93 Kontrol'!I38)</f>
        <v/>
      </c>
      <c r="G38" s="32">
        <f>IF('Checklist 93 Kontrol'!J38="","",'Checklist 93 Kontrol'!J38)</f>
        <v/>
      </c>
      <c r="H38" s="32">
        <f>IF('Checklist 93 Kontrol'!X38="","",'Checklist 93 Kontrol'!X38)</f>
        <v/>
      </c>
      <c r="I38" s="32">
        <f>IF('Checklist 93 Kontrol'!Y38="","",'Checklist 93 Kontrol'!Y38)</f>
        <v/>
      </c>
      <c r="J38" s="32">
        <f>IF('Checklist 93 Kontrol'!L38="","",'Checklist 93 Kontrol'!L38)</f>
        <v/>
      </c>
      <c r="K38" s="32">
        <f>IF('Checklist 93 Kontrol'!S38="","",'Checklist 93 Kontrol'!S38)</f>
        <v/>
      </c>
      <c r="L38" s="15">
        <f>IF('Checklist 93 Kontrol'!T38="","",'Checklist 93 Kontrol'!T38)</f>
        <v/>
      </c>
      <c r="M38" s="32">
        <f>IF('Checklist 93 Kontrol'!Z38="","",'Checklist 93 Kontrol'!Z38)</f>
        <v/>
      </c>
    </row>
    <row r="39" ht="42" customHeight="1">
      <c r="A39" s="1" t="n"/>
      <c r="B39" s="32">
        <f>IF('Checklist 93 Kontrol'!B39="","",'Checklist 93 Kontrol'!B39)</f>
        <v/>
      </c>
      <c r="C39" s="32">
        <f>IF('Checklist 93 Kontrol'!C39="","",'Checklist 93 Kontrol'!C39)</f>
        <v/>
      </c>
      <c r="D39" s="32">
        <f>IF('Checklist 93 Kontrol'!D39="","",'Checklist 93 Kontrol'!D39)</f>
        <v/>
      </c>
      <c r="E39" s="32">
        <f>IF('Checklist 93 Kontrol'!G39="","",'Checklist 93 Kontrol'!G39)</f>
        <v/>
      </c>
      <c r="F39" s="32">
        <f>IF('Checklist 93 Kontrol'!I39="","",'Checklist 93 Kontrol'!I39)</f>
        <v/>
      </c>
      <c r="G39" s="32">
        <f>IF('Checklist 93 Kontrol'!J39="","",'Checklist 93 Kontrol'!J39)</f>
        <v/>
      </c>
      <c r="H39" s="32">
        <f>IF('Checklist 93 Kontrol'!X39="","",'Checklist 93 Kontrol'!X39)</f>
        <v/>
      </c>
      <c r="I39" s="32">
        <f>IF('Checklist 93 Kontrol'!Y39="","",'Checklist 93 Kontrol'!Y39)</f>
        <v/>
      </c>
      <c r="J39" s="32">
        <f>IF('Checklist 93 Kontrol'!L39="","",'Checklist 93 Kontrol'!L39)</f>
        <v/>
      </c>
      <c r="K39" s="32">
        <f>IF('Checklist 93 Kontrol'!S39="","",'Checklist 93 Kontrol'!S39)</f>
        <v/>
      </c>
      <c r="L39" s="15">
        <f>IF('Checklist 93 Kontrol'!T39="","",'Checklist 93 Kontrol'!T39)</f>
        <v/>
      </c>
      <c r="M39" s="32">
        <f>IF('Checklist 93 Kontrol'!Z39="","",'Checklist 93 Kontrol'!Z39)</f>
        <v/>
      </c>
    </row>
    <row r="40" ht="42" customHeight="1">
      <c r="A40" s="1" t="n"/>
      <c r="B40" s="32">
        <f>IF('Checklist 93 Kontrol'!B40="","",'Checklist 93 Kontrol'!B40)</f>
        <v/>
      </c>
      <c r="C40" s="32">
        <f>IF('Checklist 93 Kontrol'!C40="","",'Checklist 93 Kontrol'!C40)</f>
        <v/>
      </c>
      <c r="D40" s="32">
        <f>IF('Checklist 93 Kontrol'!D40="","",'Checklist 93 Kontrol'!D40)</f>
        <v/>
      </c>
      <c r="E40" s="32">
        <f>IF('Checklist 93 Kontrol'!G40="","",'Checklist 93 Kontrol'!G40)</f>
        <v/>
      </c>
      <c r="F40" s="32">
        <f>IF('Checklist 93 Kontrol'!I40="","",'Checklist 93 Kontrol'!I40)</f>
        <v/>
      </c>
      <c r="G40" s="32">
        <f>IF('Checklist 93 Kontrol'!J40="","",'Checklist 93 Kontrol'!J40)</f>
        <v/>
      </c>
      <c r="H40" s="32">
        <f>IF('Checklist 93 Kontrol'!X40="","",'Checklist 93 Kontrol'!X40)</f>
        <v/>
      </c>
      <c r="I40" s="32">
        <f>IF('Checklist 93 Kontrol'!Y40="","",'Checklist 93 Kontrol'!Y40)</f>
        <v/>
      </c>
      <c r="J40" s="32">
        <f>IF('Checklist 93 Kontrol'!L40="","",'Checklist 93 Kontrol'!L40)</f>
        <v/>
      </c>
      <c r="K40" s="32">
        <f>IF('Checklist 93 Kontrol'!S40="","",'Checklist 93 Kontrol'!S40)</f>
        <v/>
      </c>
      <c r="L40" s="15">
        <f>IF('Checklist 93 Kontrol'!T40="","",'Checklist 93 Kontrol'!T40)</f>
        <v/>
      </c>
      <c r="M40" s="32">
        <f>IF('Checklist 93 Kontrol'!Z40="","",'Checklist 93 Kontrol'!Z40)</f>
        <v/>
      </c>
    </row>
    <row r="41" ht="42" customHeight="1">
      <c r="A41" s="1" t="n"/>
      <c r="B41" s="32">
        <f>IF('Checklist 93 Kontrol'!B41="","",'Checklist 93 Kontrol'!B41)</f>
        <v/>
      </c>
      <c r="C41" s="32">
        <f>IF('Checklist 93 Kontrol'!C41="","",'Checklist 93 Kontrol'!C41)</f>
        <v/>
      </c>
      <c r="D41" s="32">
        <f>IF('Checklist 93 Kontrol'!D41="","",'Checklist 93 Kontrol'!D41)</f>
        <v/>
      </c>
      <c r="E41" s="32">
        <f>IF('Checklist 93 Kontrol'!G41="","",'Checklist 93 Kontrol'!G41)</f>
        <v/>
      </c>
      <c r="F41" s="32">
        <f>IF('Checklist 93 Kontrol'!I41="","",'Checklist 93 Kontrol'!I41)</f>
        <v/>
      </c>
      <c r="G41" s="32">
        <f>IF('Checklist 93 Kontrol'!J41="","",'Checklist 93 Kontrol'!J41)</f>
        <v/>
      </c>
      <c r="H41" s="32">
        <f>IF('Checklist 93 Kontrol'!X41="","",'Checklist 93 Kontrol'!X41)</f>
        <v/>
      </c>
      <c r="I41" s="32">
        <f>IF('Checklist 93 Kontrol'!Y41="","",'Checklist 93 Kontrol'!Y41)</f>
        <v/>
      </c>
      <c r="J41" s="32">
        <f>IF('Checklist 93 Kontrol'!L41="","",'Checklist 93 Kontrol'!L41)</f>
        <v/>
      </c>
      <c r="K41" s="32">
        <f>IF('Checklist 93 Kontrol'!S41="","",'Checklist 93 Kontrol'!S41)</f>
        <v/>
      </c>
      <c r="L41" s="15">
        <f>IF('Checklist 93 Kontrol'!T41="","",'Checklist 93 Kontrol'!T41)</f>
        <v/>
      </c>
      <c r="M41" s="32">
        <f>IF('Checklist 93 Kontrol'!Z41="","",'Checklist 93 Kontrol'!Z41)</f>
        <v/>
      </c>
    </row>
    <row r="42" ht="42" customHeight="1">
      <c r="A42" s="1" t="n"/>
      <c r="B42" s="32">
        <f>IF('Checklist 93 Kontrol'!B42="","",'Checklist 93 Kontrol'!B42)</f>
        <v/>
      </c>
      <c r="C42" s="32">
        <f>IF('Checklist 93 Kontrol'!C42="","",'Checklist 93 Kontrol'!C42)</f>
        <v/>
      </c>
      <c r="D42" s="32">
        <f>IF('Checklist 93 Kontrol'!D42="","",'Checklist 93 Kontrol'!D42)</f>
        <v/>
      </c>
      <c r="E42" s="32">
        <f>IF('Checklist 93 Kontrol'!G42="","",'Checklist 93 Kontrol'!G42)</f>
        <v/>
      </c>
      <c r="F42" s="32">
        <f>IF('Checklist 93 Kontrol'!I42="","",'Checklist 93 Kontrol'!I42)</f>
        <v/>
      </c>
      <c r="G42" s="32">
        <f>IF('Checklist 93 Kontrol'!J42="","",'Checklist 93 Kontrol'!J42)</f>
        <v/>
      </c>
      <c r="H42" s="32">
        <f>IF('Checklist 93 Kontrol'!X42="","",'Checklist 93 Kontrol'!X42)</f>
        <v/>
      </c>
      <c r="I42" s="32">
        <f>IF('Checklist 93 Kontrol'!Y42="","",'Checklist 93 Kontrol'!Y42)</f>
        <v/>
      </c>
      <c r="J42" s="32">
        <f>IF('Checklist 93 Kontrol'!L42="","",'Checklist 93 Kontrol'!L42)</f>
        <v/>
      </c>
      <c r="K42" s="32">
        <f>IF('Checklist 93 Kontrol'!S42="","",'Checklist 93 Kontrol'!S42)</f>
        <v/>
      </c>
      <c r="L42" s="15">
        <f>IF('Checklist 93 Kontrol'!T42="","",'Checklist 93 Kontrol'!T42)</f>
        <v/>
      </c>
      <c r="M42" s="32">
        <f>IF('Checklist 93 Kontrol'!Z42="","",'Checklist 93 Kontrol'!Z42)</f>
        <v/>
      </c>
    </row>
    <row r="43" ht="42" customHeight="1">
      <c r="A43" s="1" t="n"/>
      <c r="B43" s="32">
        <f>IF('Checklist 93 Kontrol'!B43="","",'Checklist 93 Kontrol'!B43)</f>
        <v/>
      </c>
      <c r="C43" s="32">
        <f>IF('Checklist 93 Kontrol'!C43="","",'Checklist 93 Kontrol'!C43)</f>
        <v/>
      </c>
      <c r="D43" s="32">
        <f>IF('Checklist 93 Kontrol'!D43="","",'Checklist 93 Kontrol'!D43)</f>
        <v/>
      </c>
      <c r="E43" s="32">
        <f>IF('Checklist 93 Kontrol'!G43="","",'Checklist 93 Kontrol'!G43)</f>
        <v/>
      </c>
      <c r="F43" s="32">
        <f>IF('Checklist 93 Kontrol'!I43="","",'Checklist 93 Kontrol'!I43)</f>
        <v/>
      </c>
      <c r="G43" s="32">
        <f>IF('Checklist 93 Kontrol'!J43="","",'Checklist 93 Kontrol'!J43)</f>
        <v/>
      </c>
      <c r="H43" s="32">
        <f>IF('Checklist 93 Kontrol'!X43="","",'Checklist 93 Kontrol'!X43)</f>
        <v/>
      </c>
      <c r="I43" s="32">
        <f>IF('Checklist 93 Kontrol'!Y43="","",'Checklist 93 Kontrol'!Y43)</f>
        <v/>
      </c>
      <c r="J43" s="32">
        <f>IF('Checklist 93 Kontrol'!L43="","",'Checklist 93 Kontrol'!L43)</f>
        <v/>
      </c>
      <c r="K43" s="32">
        <f>IF('Checklist 93 Kontrol'!S43="","",'Checklist 93 Kontrol'!S43)</f>
        <v/>
      </c>
      <c r="L43" s="15">
        <f>IF('Checklist 93 Kontrol'!T43="","",'Checklist 93 Kontrol'!T43)</f>
        <v/>
      </c>
      <c r="M43" s="32">
        <f>IF('Checklist 93 Kontrol'!Z43="","",'Checklist 93 Kontrol'!Z43)</f>
        <v/>
      </c>
    </row>
    <row r="44" ht="42" customHeight="1">
      <c r="A44" s="1" t="n"/>
      <c r="B44" s="32">
        <f>IF('Checklist 93 Kontrol'!B44="","",'Checklist 93 Kontrol'!B44)</f>
        <v/>
      </c>
      <c r="C44" s="32">
        <f>IF('Checklist 93 Kontrol'!C44="","",'Checklist 93 Kontrol'!C44)</f>
        <v/>
      </c>
      <c r="D44" s="32">
        <f>IF('Checklist 93 Kontrol'!D44="","",'Checklist 93 Kontrol'!D44)</f>
        <v/>
      </c>
      <c r="E44" s="32">
        <f>IF('Checklist 93 Kontrol'!G44="","",'Checklist 93 Kontrol'!G44)</f>
        <v/>
      </c>
      <c r="F44" s="32">
        <f>IF('Checklist 93 Kontrol'!I44="","",'Checklist 93 Kontrol'!I44)</f>
        <v/>
      </c>
      <c r="G44" s="32">
        <f>IF('Checklist 93 Kontrol'!J44="","",'Checklist 93 Kontrol'!J44)</f>
        <v/>
      </c>
      <c r="H44" s="32">
        <f>IF('Checklist 93 Kontrol'!X44="","",'Checklist 93 Kontrol'!X44)</f>
        <v/>
      </c>
      <c r="I44" s="32">
        <f>IF('Checklist 93 Kontrol'!Y44="","",'Checklist 93 Kontrol'!Y44)</f>
        <v/>
      </c>
      <c r="J44" s="32">
        <f>IF('Checklist 93 Kontrol'!L44="","",'Checklist 93 Kontrol'!L44)</f>
        <v/>
      </c>
      <c r="K44" s="32">
        <f>IF('Checklist 93 Kontrol'!S44="","",'Checklist 93 Kontrol'!S44)</f>
        <v/>
      </c>
      <c r="L44" s="15">
        <f>IF('Checklist 93 Kontrol'!T44="","",'Checklist 93 Kontrol'!T44)</f>
        <v/>
      </c>
      <c r="M44" s="32">
        <f>IF('Checklist 93 Kontrol'!Z44="","",'Checklist 93 Kontrol'!Z44)</f>
        <v/>
      </c>
    </row>
    <row r="45" ht="42" customHeight="1">
      <c r="A45" s="1" t="n"/>
      <c r="B45" s="32">
        <f>IF('Checklist 93 Kontrol'!B45="","",'Checklist 93 Kontrol'!B45)</f>
        <v/>
      </c>
      <c r="C45" s="32">
        <f>IF('Checklist 93 Kontrol'!C45="","",'Checklist 93 Kontrol'!C45)</f>
        <v/>
      </c>
      <c r="D45" s="32">
        <f>IF('Checklist 93 Kontrol'!D45="","",'Checklist 93 Kontrol'!D45)</f>
        <v/>
      </c>
      <c r="E45" s="32">
        <f>IF('Checklist 93 Kontrol'!G45="","",'Checklist 93 Kontrol'!G45)</f>
        <v/>
      </c>
      <c r="F45" s="32">
        <f>IF('Checklist 93 Kontrol'!I45="","",'Checklist 93 Kontrol'!I45)</f>
        <v/>
      </c>
      <c r="G45" s="32">
        <f>IF('Checklist 93 Kontrol'!J45="","",'Checklist 93 Kontrol'!J45)</f>
        <v/>
      </c>
      <c r="H45" s="32">
        <f>IF('Checklist 93 Kontrol'!X45="","",'Checklist 93 Kontrol'!X45)</f>
        <v/>
      </c>
      <c r="I45" s="32">
        <f>IF('Checklist 93 Kontrol'!Y45="","",'Checklist 93 Kontrol'!Y45)</f>
        <v/>
      </c>
      <c r="J45" s="32">
        <f>IF('Checklist 93 Kontrol'!L45="","",'Checklist 93 Kontrol'!L45)</f>
        <v/>
      </c>
      <c r="K45" s="32">
        <f>IF('Checklist 93 Kontrol'!S45="","",'Checklist 93 Kontrol'!S45)</f>
        <v/>
      </c>
      <c r="L45" s="15">
        <f>IF('Checklist 93 Kontrol'!T45="","",'Checklist 93 Kontrol'!T45)</f>
        <v/>
      </c>
      <c r="M45" s="32">
        <f>IF('Checklist 93 Kontrol'!Z45="","",'Checklist 93 Kontrol'!Z45)</f>
        <v/>
      </c>
    </row>
    <row r="46" ht="42" customHeight="1">
      <c r="A46" s="1" t="n"/>
      <c r="B46" s="32">
        <f>IF('Checklist 93 Kontrol'!B46="","",'Checklist 93 Kontrol'!B46)</f>
        <v/>
      </c>
      <c r="C46" s="32">
        <f>IF('Checklist 93 Kontrol'!C46="","",'Checklist 93 Kontrol'!C46)</f>
        <v/>
      </c>
      <c r="D46" s="32">
        <f>IF('Checklist 93 Kontrol'!D46="","",'Checklist 93 Kontrol'!D46)</f>
        <v/>
      </c>
      <c r="E46" s="32">
        <f>IF('Checklist 93 Kontrol'!G46="","",'Checklist 93 Kontrol'!G46)</f>
        <v/>
      </c>
      <c r="F46" s="32">
        <f>IF('Checklist 93 Kontrol'!I46="","",'Checklist 93 Kontrol'!I46)</f>
        <v/>
      </c>
      <c r="G46" s="32">
        <f>IF('Checklist 93 Kontrol'!J46="","",'Checklist 93 Kontrol'!J46)</f>
        <v/>
      </c>
      <c r="H46" s="32">
        <f>IF('Checklist 93 Kontrol'!X46="","",'Checklist 93 Kontrol'!X46)</f>
        <v/>
      </c>
      <c r="I46" s="32">
        <f>IF('Checklist 93 Kontrol'!Y46="","",'Checklist 93 Kontrol'!Y46)</f>
        <v/>
      </c>
      <c r="J46" s="32">
        <f>IF('Checklist 93 Kontrol'!L46="","",'Checklist 93 Kontrol'!L46)</f>
        <v/>
      </c>
      <c r="K46" s="32">
        <f>IF('Checklist 93 Kontrol'!S46="","",'Checklist 93 Kontrol'!S46)</f>
        <v/>
      </c>
      <c r="L46" s="15">
        <f>IF('Checklist 93 Kontrol'!T46="","",'Checklist 93 Kontrol'!T46)</f>
        <v/>
      </c>
      <c r="M46" s="32">
        <f>IF('Checklist 93 Kontrol'!Z46="","",'Checklist 93 Kontrol'!Z46)</f>
        <v/>
      </c>
    </row>
    <row r="47" ht="42" customHeight="1">
      <c r="A47" s="1" t="n"/>
      <c r="B47" s="32">
        <f>IF('Checklist 93 Kontrol'!B47="","",'Checklist 93 Kontrol'!B47)</f>
        <v/>
      </c>
      <c r="C47" s="32">
        <f>IF('Checklist 93 Kontrol'!C47="","",'Checklist 93 Kontrol'!C47)</f>
        <v/>
      </c>
      <c r="D47" s="32">
        <f>IF('Checklist 93 Kontrol'!D47="","",'Checklist 93 Kontrol'!D47)</f>
        <v/>
      </c>
      <c r="E47" s="32">
        <f>IF('Checklist 93 Kontrol'!G47="","",'Checklist 93 Kontrol'!G47)</f>
        <v/>
      </c>
      <c r="F47" s="32">
        <f>IF('Checklist 93 Kontrol'!I47="","",'Checklist 93 Kontrol'!I47)</f>
        <v/>
      </c>
      <c r="G47" s="32">
        <f>IF('Checklist 93 Kontrol'!J47="","",'Checklist 93 Kontrol'!J47)</f>
        <v/>
      </c>
      <c r="H47" s="32">
        <f>IF('Checklist 93 Kontrol'!X47="","",'Checklist 93 Kontrol'!X47)</f>
        <v/>
      </c>
      <c r="I47" s="32">
        <f>IF('Checklist 93 Kontrol'!Y47="","",'Checklist 93 Kontrol'!Y47)</f>
        <v/>
      </c>
      <c r="J47" s="32">
        <f>IF('Checklist 93 Kontrol'!L47="","",'Checklist 93 Kontrol'!L47)</f>
        <v/>
      </c>
      <c r="K47" s="32">
        <f>IF('Checklist 93 Kontrol'!S47="","",'Checklist 93 Kontrol'!S47)</f>
        <v/>
      </c>
      <c r="L47" s="15">
        <f>IF('Checklist 93 Kontrol'!T47="","",'Checklist 93 Kontrol'!T47)</f>
        <v/>
      </c>
      <c r="M47" s="32">
        <f>IF('Checklist 93 Kontrol'!Z47="","",'Checklist 93 Kontrol'!Z47)</f>
        <v/>
      </c>
    </row>
    <row r="48" ht="42" customHeight="1">
      <c r="A48" s="1" t="n"/>
      <c r="B48" s="32">
        <f>IF('Checklist 93 Kontrol'!B48="","",'Checklist 93 Kontrol'!B48)</f>
        <v/>
      </c>
      <c r="C48" s="32">
        <f>IF('Checklist 93 Kontrol'!C48="","",'Checklist 93 Kontrol'!C48)</f>
        <v/>
      </c>
      <c r="D48" s="32">
        <f>IF('Checklist 93 Kontrol'!D48="","",'Checklist 93 Kontrol'!D48)</f>
        <v/>
      </c>
      <c r="E48" s="32">
        <f>IF('Checklist 93 Kontrol'!G48="","",'Checklist 93 Kontrol'!G48)</f>
        <v/>
      </c>
      <c r="F48" s="32">
        <f>IF('Checklist 93 Kontrol'!I48="","",'Checklist 93 Kontrol'!I48)</f>
        <v/>
      </c>
      <c r="G48" s="32">
        <f>IF('Checklist 93 Kontrol'!J48="","",'Checklist 93 Kontrol'!J48)</f>
        <v/>
      </c>
      <c r="H48" s="32">
        <f>IF('Checklist 93 Kontrol'!X48="","",'Checklist 93 Kontrol'!X48)</f>
        <v/>
      </c>
      <c r="I48" s="32">
        <f>IF('Checklist 93 Kontrol'!Y48="","",'Checklist 93 Kontrol'!Y48)</f>
        <v/>
      </c>
      <c r="J48" s="32">
        <f>IF('Checklist 93 Kontrol'!L48="","",'Checklist 93 Kontrol'!L48)</f>
        <v/>
      </c>
      <c r="K48" s="32">
        <f>IF('Checklist 93 Kontrol'!S48="","",'Checklist 93 Kontrol'!S48)</f>
        <v/>
      </c>
      <c r="L48" s="15">
        <f>IF('Checklist 93 Kontrol'!T48="","",'Checklist 93 Kontrol'!T48)</f>
        <v/>
      </c>
      <c r="M48" s="32">
        <f>IF('Checklist 93 Kontrol'!Z48="","",'Checklist 93 Kontrol'!Z48)</f>
        <v/>
      </c>
    </row>
    <row r="49" ht="42" customHeight="1">
      <c r="A49" s="1" t="n"/>
      <c r="B49" s="32">
        <f>IF('Checklist 93 Kontrol'!B49="","",'Checklist 93 Kontrol'!B49)</f>
        <v/>
      </c>
      <c r="C49" s="32">
        <f>IF('Checklist 93 Kontrol'!C49="","",'Checklist 93 Kontrol'!C49)</f>
        <v/>
      </c>
      <c r="D49" s="32">
        <f>IF('Checklist 93 Kontrol'!D49="","",'Checklist 93 Kontrol'!D49)</f>
        <v/>
      </c>
      <c r="E49" s="32">
        <f>IF('Checklist 93 Kontrol'!G49="","",'Checklist 93 Kontrol'!G49)</f>
        <v/>
      </c>
      <c r="F49" s="32">
        <f>IF('Checklist 93 Kontrol'!I49="","",'Checklist 93 Kontrol'!I49)</f>
        <v/>
      </c>
      <c r="G49" s="32">
        <f>IF('Checklist 93 Kontrol'!J49="","",'Checklist 93 Kontrol'!J49)</f>
        <v/>
      </c>
      <c r="H49" s="32">
        <f>IF('Checklist 93 Kontrol'!X49="","",'Checklist 93 Kontrol'!X49)</f>
        <v/>
      </c>
      <c r="I49" s="32">
        <f>IF('Checklist 93 Kontrol'!Y49="","",'Checklist 93 Kontrol'!Y49)</f>
        <v/>
      </c>
      <c r="J49" s="32">
        <f>IF('Checklist 93 Kontrol'!L49="","",'Checklist 93 Kontrol'!L49)</f>
        <v/>
      </c>
      <c r="K49" s="32">
        <f>IF('Checklist 93 Kontrol'!S49="","",'Checklist 93 Kontrol'!S49)</f>
        <v/>
      </c>
      <c r="L49" s="15">
        <f>IF('Checklist 93 Kontrol'!T49="","",'Checklist 93 Kontrol'!T49)</f>
        <v/>
      </c>
      <c r="M49" s="32">
        <f>IF('Checklist 93 Kontrol'!Z49="","",'Checklist 93 Kontrol'!Z49)</f>
        <v/>
      </c>
    </row>
    <row r="50" ht="42" customHeight="1">
      <c r="A50" s="1" t="n"/>
      <c r="B50" s="32">
        <f>IF('Checklist 93 Kontrol'!B50="","",'Checklist 93 Kontrol'!B50)</f>
        <v/>
      </c>
      <c r="C50" s="32">
        <f>IF('Checklist 93 Kontrol'!C50="","",'Checklist 93 Kontrol'!C50)</f>
        <v/>
      </c>
      <c r="D50" s="32">
        <f>IF('Checklist 93 Kontrol'!D50="","",'Checklist 93 Kontrol'!D50)</f>
        <v/>
      </c>
      <c r="E50" s="32">
        <f>IF('Checklist 93 Kontrol'!G50="","",'Checklist 93 Kontrol'!G50)</f>
        <v/>
      </c>
      <c r="F50" s="32">
        <f>IF('Checklist 93 Kontrol'!I50="","",'Checklist 93 Kontrol'!I50)</f>
        <v/>
      </c>
      <c r="G50" s="32">
        <f>IF('Checklist 93 Kontrol'!J50="","",'Checklist 93 Kontrol'!J50)</f>
        <v/>
      </c>
      <c r="H50" s="32">
        <f>IF('Checklist 93 Kontrol'!X50="","",'Checklist 93 Kontrol'!X50)</f>
        <v/>
      </c>
      <c r="I50" s="32">
        <f>IF('Checklist 93 Kontrol'!Y50="","",'Checklist 93 Kontrol'!Y50)</f>
        <v/>
      </c>
      <c r="J50" s="32">
        <f>IF('Checklist 93 Kontrol'!L50="","",'Checklist 93 Kontrol'!L50)</f>
        <v/>
      </c>
      <c r="K50" s="32">
        <f>IF('Checklist 93 Kontrol'!S50="","",'Checklist 93 Kontrol'!S50)</f>
        <v/>
      </c>
      <c r="L50" s="15">
        <f>IF('Checklist 93 Kontrol'!T50="","",'Checklist 93 Kontrol'!T50)</f>
        <v/>
      </c>
      <c r="M50" s="32">
        <f>IF('Checklist 93 Kontrol'!Z50="","",'Checklist 93 Kontrol'!Z50)</f>
        <v/>
      </c>
    </row>
    <row r="51" ht="42" customHeight="1">
      <c r="A51" s="1" t="n"/>
      <c r="B51" s="32">
        <f>IF('Checklist 93 Kontrol'!B51="","",'Checklist 93 Kontrol'!B51)</f>
        <v/>
      </c>
      <c r="C51" s="32">
        <f>IF('Checklist 93 Kontrol'!C51="","",'Checklist 93 Kontrol'!C51)</f>
        <v/>
      </c>
      <c r="D51" s="32">
        <f>IF('Checklist 93 Kontrol'!D51="","",'Checklist 93 Kontrol'!D51)</f>
        <v/>
      </c>
      <c r="E51" s="32">
        <f>IF('Checklist 93 Kontrol'!G51="","",'Checklist 93 Kontrol'!G51)</f>
        <v/>
      </c>
      <c r="F51" s="32">
        <f>IF('Checklist 93 Kontrol'!I51="","",'Checklist 93 Kontrol'!I51)</f>
        <v/>
      </c>
      <c r="G51" s="32">
        <f>IF('Checklist 93 Kontrol'!J51="","",'Checklist 93 Kontrol'!J51)</f>
        <v/>
      </c>
      <c r="H51" s="32">
        <f>IF('Checklist 93 Kontrol'!X51="","",'Checklist 93 Kontrol'!X51)</f>
        <v/>
      </c>
      <c r="I51" s="32">
        <f>IF('Checklist 93 Kontrol'!Y51="","",'Checklist 93 Kontrol'!Y51)</f>
        <v/>
      </c>
      <c r="J51" s="32">
        <f>IF('Checklist 93 Kontrol'!L51="","",'Checklist 93 Kontrol'!L51)</f>
        <v/>
      </c>
      <c r="K51" s="32">
        <f>IF('Checklist 93 Kontrol'!S51="","",'Checklist 93 Kontrol'!S51)</f>
        <v/>
      </c>
      <c r="L51" s="15">
        <f>IF('Checklist 93 Kontrol'!T51="","",'Checklist 93 Kontrol'!T51)</f>
        <v/>
      </c>
      <c r="M51" s="32">
        <f>IF('Checklist 93 Kontrol'!Z51="","",'Checklist 93 Kontrol'!Z51)</f>
        <v/>
      </c>
    </row>
    <row r="52" ht="42" customHeight="1">
      <c r="A52" s="1" t="n"/>
      <c r="B52" s="32">
        <f>IF('Checklist 93 Kontrol'!B52="","",'Checklist 93 Kontrol'!B52)</f>
        <v/>
      </c>
      <c r="C52" s="32">
        <f>IF('Checklist 93 Kontrol'!C52="","",'Checklist 93 Kontrol'!C52)</f>
        <v/>
      </c>
      <c r="D52" s="32">
        <f>IF('Checklist 93 Kontrol'!D52="","",'Checklist 93 Kontrol'!D52)</f>
        <v/>
      </c>
      <c r="E52" s="32">
        <f>IF('Checklist 93 Kontrol'!G52="","",'Checklist 93 Kontrol'!G52)</f>
        <v/>
      </c>
      <c r="F52" s="32">
        <f>IF('Checklist 93 Kontrol'!I52="","",'Checklist 93 Kontrol'!I52)</f>
        <v/>
      </c>
      <c r="G52" s="32">
        <f>IF('Checklist 93 Kontrol'!J52="","",'Checklist 93 Kontrol'!J52)</f>
        <v/>
      </c>
      <c r="H52" s="32">
        <f>IF('Checklist 93 Kontrol'!X52="","",'Checklist 93 Kontrol'!X52)</f>
        <v/>
      </c>
      <c r="I52" s="32">
        <f>IF('Checklist 93 Kontrol'!Y52="","",'Checklist 93 Kontrol'!Y52)</f>
        <v/>
      </c>
      <c r="J52" s="32">
        <f>IF('Checklist 93 Kontrol'!L52="","",'Checklist 93 Kontrol'!L52)</f>
        <v/>
      </c>
      <c r="K52" s="32">
        <f>IF('Checklist 93 Kontrol'!S52="","",'Checklist 93 Kontrol'!S52)</f>
        <v/>
      </c>
      <c r="L52" s="15">
        <f>IF('Checklist 93 Kontrol'!T52="","",'Checklist 93 Kontrol'!T52)</f>
        <v/>
      </c>
      <c r="M52" s="32">
        <f>IF('Checklist 93 Kontrol'!Z52="","",'Checklist 93 Kontrol'!Z52)</f>
        <v/>
      </c>
    </row>
    <row r="53" ht="42" customHeight="1">
      <c r="A53" s="1" t="n"/>
      <c r="B53" s="32">
        <f>IF('Checklist 93 Kontrol'!B53="","",'Checklist 93 Kontrol'!B53)</f>
        <v/>
      </c>
      <c r="C53" s="32">
        <f>IF('Checklist 93 Kontrol'!C53="","",'Checklist 93 Kontrol'!C53)</f>
        <v/>
      </c>
      <c r="D53" s="32">
        <f>IF('Checklist 93 Kontrol'!D53="","",'Checklist 93 Kontrol'!D53)</f>
        <v/>
      </c>
      <c r="E53" s="32">
        <f>IF('Checklist 93 Kontrol'!G53="","",'Checklist 93 Kontrol'!G53)</f>
        <v/>
      </c>
      <c r="F53" s="32">
        <f>IF('Checklist 93 Kontrol'!I53="","",'Checklist 93 Kontrol'!I53)</f>
        <v/>
      </c>
      <c r="G53" s="32">
        <f>IF('Checklist 93 Kontrol'!J53="","",'Checklist 93 Kontrol'!J53)</f>
        <v/>
      </c>
      <c r="H53" s="32">
        <f>IF('Checklist 93 Kontrol'!X53="","",'Checklist 93 Kontrol'!X53)</f>
        <v/>
      </c>
      <c r="I53" s="32">
        <f>IF('Checklist 93 Kontrol'!Y53="","",'Checklist 93 Kontrol'!Y53)</f>
        <v/>
      </c>
      <c r="J53" s="32">
        <f>IF('Checklist 93 Kontrol'!L53="","",'Checklist 93 Kontrol'!L53)</f>
        <v/>
      </c>
      <c r="K53" s="32">
        <f>IF('Checklist 93 Kontrol'!S53="","",'Checklist 93 Kontrol'!S53)</f>
        <v/>
      </c>
      <c r="L53" s="15">
        <f>IF('Checklist 93 Kontrol'!T53="","",'Checklist 93 Kontrol'!T53)</f>
        <v/>
      </c>
      <c r="M53" s="32">
        <f>IF('Checklist 93 Kontrol'!Z53="","",'Checklist 93 Kontrol'!Z53)</f>
        <v/>
      </c>
    </row>
    <row r="54" ht="42" customHeight="1">
      <c r="A54" s="1" t="n"/>
      <c r="B54" s="32">
        <f>IF('Checklist 93 Kontrol'!B54="","",'Checklist 93 Kontrol'!B54)</f>
        <v/>
      </c>
      <c r="C54" s="32">
        <f>IF('Checklist 93 Kontrol'!C54="","",'Checklist 93 Kontrol'!C54)</f>
        <v/>
      </c>
      <c r="D54" s="32">
        <f>IF('Checklist 93 Kontrol'!D54="","",'Checklist 93 Kontrol'!D54)</f>
        <v/>
      </c>
      <c r="E54" s="32">
        <f>IF('Checklist 93 Kontrol'!G54="","",'Checklist 93 Kontrol'!G54)</f>
        <v/>
      </c>
      <c r="F54" s="32">
        <f>IF('Checklist 93 Kontrol'!I54="","",'Checklist 93 Kontrol'!I54)</f>
        <v/>
      </c>
      <c r="G54" s="32">
        <f>IF('Checklist 93 Kontrol'!J54="","",'Checklist 93 Kontrol'!J54)</f>
        <v/>
      </c>
      <c r="H54" s="32">
        <f>IF('Checklist 93 Kontrol'!X54="","",'Checklist 93 Kontrol'!X54)</f>
        <v/>
      </c>
      <c r="I54" s="32">
        <f>IF('Checklist 93 Kontrol'!Y54="","",'Checklist 93 Kontrol'!Y54)</f>
        <v/>
      </c>
      <c r="J54" s="32">
        <f>IF('Checklist 93 Kontrol'!L54="","",'Checklist 93 Kontrol'!L54)</f>
        <v/>
      </c>
      <c r="K54" s="32">
        <f>IF('Checklist 93 Kontrol'!S54="","",'Checklist 93 Kontrol'!S54)</f>
        <v/>
      </c>
      <c r="L54" s="15">
        <f>IF('Checklist 93 Kontrol'!T54="","",'Checklist 93 Kontrol'!T54)</f>
        <v/>
      </c>
      <c r="M54" s="32">
        <f>IF('Checklist 93 Kontrol'!Z54="","",'Checklist 93 Kontrol'!Z54)</f>
        <v/>
      </c>
    </row>
    <row r="55" ht="42" customHeight="1">
      <c r="A55" s="1" t="n"/>
      <c r="B55" s="32">
        <f>IF('Checklist 93 Kontrol'!B55="","",'Checklist 93 Kontrol'!B55)</f>
        <v/>
      </c>
      <c r="C55" s="32">
        <f>IF('Checklist 93 Kontrol'!C55="","",'Checklist 93 Kontrol'!C55)</f>
        <v/>
      </c>
      <c r="D55" s="32">
        <f>IF('Checklist 93 Kontrol'!D55="","",'Checklist 93 Kontrol'!D55)</f>
        <v/>
      </c>
      <c r="E55" s="32">
        <f>IF('Checklist 93 Kontrol'!G55="","",'Checklist 93 Kontrol'!G55)</f>
        <v/>
      </c>
      <c r="F55" s="32">
        <f>IF('Checklist 93 Kontrol'!I55="","",'Checklist 93 Kontrol'!I55)</f>
        <v/>
      </c>
      <c r="G55" s="32">
        <f>IF('Checklist 93 Kontrol'!J55="","",'Checklist 93 Kontrol'!J55)</f>
        <v/>
      </c>
      <c r="H55" s="32">
        <f>IF('Checklist 93 Kontrol'!X55="","",'Checklist 93 Kontrol'!X55)</f>
        <v/>
      </c>
      <c r="I55" s="32">
        <f>IF('Checklist 93 Kontrol'!Y55="","",'Checklist 93 Kontrol'!Y55)</f>
        <v/>
      </c>
      <c r="J55" s="32">
        <f>IF('Checklist 93 Kontrol'!L55="","",'Checklist 93 Kontrol'!L55)</f>
        <v/>
      </c>
      <c r="K55" s="32">
        <f>IF('Checklist 93 Kontrol'!S55="","",'Checklist 93 Kontrol'!S55)</f>
        <v/>
      </c>
      <c r="L55" s="15">
        <f>IF('Checklist 93 Kontrol'!T55="","",'Checklist 93 Kontrol'!T55)</f>
        <v/>
      </c>
      <c r="M55" s="32">
        <f>IF('Checklist 93 Kontrol'!Z55="","",'Checklist 93 Kontrol'!Z55)</f>
        <v/>
      </c>
    </row>
    <row r="56" ht="42" customHeight="1">
      <c r="A56" s="1" t="n"/>
      <c r="B56" s="32">
        <f>IF('Checklist 93 Kontrol'!B56="","",'Checklist 93 Kontrol'!B56)</f>
        <v/>
      </c>
      <c r="C56" s="32">
        <f>IF('Checklist 93 Kontrol'!C56="","",'Checklist 93 Kontrol'!C56)</f>
        <v/>
      </c>
      <c r="D56" s="32">
        <f>IF('Checklist 93 Kontrol'!D56="","",'Checklist 93 Kontrol'!D56)</f>
        <v/>
      </c>
      <c r="E56" s="32">
        <f>IF('Checklist 93 Kontrol'!G56="","",'Checklist 93 Kontrol'!G56)</f>
        <v/>
      </c>
      <c r="F56" s="32">
        <f>IF('Checklist 93 Kontrol'!I56="","",'Checklist 93 Kontrol'!I56)</f>
        <v/>
      </c>
      <c r="G56" s="32">
        <f>IF('Checklist 93 Kontrol'!J56="","",'Checklist 93 Kontrol'!J56)</f>
        <v/>
      </c>
      <c r="H56" s="32">
        <f>IF('Checklist 93 Kontrol'!X56="","",'Checklist 93 Kontrol'!X56)</f>
        <v/>
      </c>
      <c r="I56" s="32">
        <f>IF('Checklist 93 Kontrol'!Y56="","",'Checklist 93 Kontrol'!Y56)</f>
        <v/>
      </c>
      <c r="J56" s="32">
        <f>IF('Checklist 93 Kontrol'!L56="","",'Checklist 93 Kontrol'!L56)</f>
        <v/>
      </c>
      <c r="K56" s="32">
        <f>IF('Checklist 93 Kontrol'!S56="","",'Checklist 93 Kontrol'!S56)</f>
        <v/>
      </c>
      <c r="L56" s="15">
        <f>IF('Checklist 93 Kontrol'!T56="","",'Checklist 93 Kontrol'!T56)</f>
        <v/>
      </c>
      <c r="M56" s="32">
        <f>IF('Checklist 93 Kontrol'!Z56="","",'Checklist 93 Kontrol'!Z56)</f>
        <v/>
      </c>
    </row>
    <row r="57" ht="42" customHeight="1">
      <c r="A57" s="1" t="n"/>
      <c r="B57" s="32">
        <f>IF('Checklist 93 Kontrol'!B57="","",'Checklist 93 Kontrol'!B57)</f>
        <v/>
      </c>
      <c r="C57" s="32">
        <f>IF('Checklist 93 Kontrol'!C57="","",'Checklist 93 Kontrol'!C57)</f>
        <v/>
      </c>
      <c r="D57" s="32">
        <f>IF('Checklist 93 Kontrol'!D57="","",'Checklist 93 Kontrol'!D57)</f>
        <v/>
      </c>
      <c r="E57" s="32">
        <f>IF('Checklist 93 Kontrol'!G57="","",'Checklist 93 Kontrol'!G57)</f>
        <v/>
      </c>
      <c r="F57" s="32">
        <f>IF('Checklist 93 Kontrol'!I57="","",'Checklist 93 Kontrol'!I57)</f>
        <v/>
      </c>
      <c r="G57" s="32">
        <f>IF('Checklist 93 Kontrol'!J57="","",'Checklist 93 Kontrol'!J57)</f>
        <v/>
      </c>
      <c r="H57" s="32">
        <f>IF('Checklist 93 Kontrol'!X57="","",'Checklist 93 Kontrol'!X57)</f>
        <v/>
      </c>
      <c r="I57" s="32">
        <f>IF('Checklist 93 Kontrol'!Y57="","",'Checklist 93 Kontrol'!Y57)</f>
        <v/>
      </c>
      <c r="J57" s="32">
        <f>IF('Checklist 93 Kontrol'!L57="","",'Checklist 93 Kontrol'!L57)</f>
        <v/>
      </c>
      <c r="K57" s="32">
        <f>IF('Checklist 93 Kontrol'!S57="","",'Checklist 93 Kontrol'!S57)</f>
        <v/>
      </c>
      <c r="L57" s="15">
        <f>IF('Checklist 93 Kontrol'!T57="","",'Checklist 93 Kontrol'!T57)</f>
        <v/>
      </c>
      <c r="M57" s="32">
        <f>IF('Checklist 93 Kontrol'!Z57="","",'Checklist 93 Kontrol'!Z57)</f>
        <v/>
      </c>
    </row>
    <row r="58" ht="42" customHeight="1">
      <c r="A58" s="1" t="n"/>
      <c r="B58" s="32">
        <f>IF('Checklist 93 Kontrol'!B58="","",'Checklist 93 Kontrol'!B58)</f>
        <v/>
      </c>
      <c r="C58" s="32">
        <f>IF('Checklist 93 Kontrol'!C58="","",'Checklist 93 Kontrol'!C58)</f>
        <v/>
      </c>
      <c r="D58" s="32">
        <f>IF('Checklist 93 Kontrol'!D58="","",'Checklist 93 Kontrol'!D58)</f>
        <v/>
      </c>
      <c r="E58" s="32">
        <f>IF('Checklist 93 Kontrol'!G58="","",'Checklist 93 Kontrol'!G58)</f>
        <v/>
      </c>
      <c r="F58" s="32">
        <f>IF('Checklist 93 Kontrol'!I58="","",'Checklist 93 Kontrol'!I58)</f>
        <v/>
      </c>
      <c r="G58" s="32">
        <f>IF('Checklist 93 Kontrol'!J58="","",'Checklist 93 Kontrol'!J58)</f>
        <v/>
      </c>
      <c r="H58" s="32">
        <f>IF('Checklist 93 Kontrol'!X58="","",'Checklist 93 Kontrol'!X58)</f>
        <v/>
      </c>
      <c r="I58" s="32">
        <f>IF('Checklist 93 Kontrol'!Y58="","",'Checklist 93 Kontrol'!Y58)</f>
        <v/>
      </c>
      <c r="J58" s="32">
        <f>IF('Checklist 93 Kontrol'!L58="","",'Checklist 93 Kontrol'!L58)</f>
        <v/>
      </c>
      <c r="K58" s="32">
        <f>IF('Checklist 93 Kontrol'!S58="","",'Checklist 93 Kontrol'!S58)</f>
        <v/>
      </c>
      <c r="L58" s="15">
        <f>IF('Checklist 93 Kontrol'!T58="","",'Checklist 93 Kontrol'!T58)</f>
        <v/>
      </c>
      <c r="M58" s="32">
        <f>IF('Checklist 93 Kontrol'!Z58="","",'Checklist 93 Kontrol'!Z58)</f>
        <v/>
      </c>
    </row>
    <row r="59" ht="42" customHeight="1">
      <c r="A59" s="1" t="n"/>
      <c r="B59" s="32">
        <f>IF('Checklist 93 Kontrol'!B59="","",'Checklist 93 Kontrol'!B59)</f>
        <v/>
      </c>
      <c r="C59" s="32">
        <f>IF('Checklist 93 Kontrol'!C59="","",'Checklist 93 Kontrol'!C59)</f>
        <v/>
      </c>
      <c r="D59" s="32">
        <f>IF('Checklist 93 Kontrol'!D59="","",'Checklist 93 Kontrol'!D59)</f>
        <v/>
      </c>
      <c r="E59" s="32">
        <f>IF('Checklist 93 Kontrol'!G59="","",'Checklist 93 Kontrol'!G59)</f>
        <v/>
      </c>
      <c r="F59" s="32">
        <f>IF('Checklist 93 Kontrol'!I59="","",'Checklist 93 Kontrol'!I59)</f>
        <v/>
      </c>
      <c r="G59" s="32">
        <f>IF('Checklist 93 Kontrol'!J59="","",'Checklist 93 Kontrol'!J59)</f>
        <v/>
      </c>
      <c r="H59" s="32">
        <f>IF('Checklist 93 Kontrol'!X59="","",'Checklist 93 Kontrol'!X59)</f>
        <v/>
      </c>
      <c r="I59" s="32">
        <f>IF('Checklist 93 Kontrol'!Y59="","",'Checklist 93 Kontrol'!Y59)</f>
        <v/>
      </c>
      <c r="J59" s="32">
        <f>IF('Checklist 93 Kontrol'!L59="","",'Checklist 93 Kontrol'!L59)</f>
        <v/>
      </c>
      <c r="K59" s="32">
        <f>IF('Checklist 93 Kontrol'!S59="","",'Checklist 93 Kontrol'!S59)</f>
        <v/>
      </c>
      <c r="L59" s="15">
        <f>IF('Checklist 93 Kontrol'!T59="","",'Checklist 93 Kontrol'!T59)</f>
        <v/>
      </c>
      <c r="M59" s="32">
        <f>IF('Checklist 93 Kontrol'!Z59="","",'Checklist 93 Kontrol'!Z59)</f>
        <v/>
      </c>
    </row>
    <row r="60" ht="42" customHeight="1">
      <c r="A60" s="1" t="n"/>
      <c r="B60" s="32">
        <f>IF('Checklist 93 Kontrol'!B60="","",'Checklist 93 Kontrol'!B60)</f>
        <v/>
      </c>
      <c r="C60" s="32">
        <f>IF('Checklist 93 Kontrol'!C60="","",'Checklist 93 Kontrol'!C60)</f>
        <v/>
      </c>
      <c r="D60" s="32">
        <f>IF('Checklist 93 Kontrol'!D60="","",'Checklist 93 Kontrol'!D60)</f>
        <v/>
      </c>
      <c r="E60" s="32">
        <f>IF('Checklist 93 Kontrol'!G60="","",'Checklist 93 Kontrol'!G60)</f>
        <v/>
      </c>
      <c r="F60" s="32">
        <f>IF('Checklist 93 Kontrol'!I60="","",'Checklist 93 Kontrol'!I60)</f>
        <v/>
      </c>
      <c r="G60" s="32">
        <f>IF('Checklist 93 Kontrol'!J60="","",'Checklist 93 Kontrol'!J60)</f>
        <v/>
      </c>
      <c r="H60" s="32">
        <f>IF('Checklist 93 Kontrol'!X60="","",'Checklist 93 Kontrol'!X60)</f>
        <v/>
      </c>
      <c r="I60" s="32">
        <f>IF('Checklist 93 Kontrol'!Y60="","",'Checklist 93 Kontrol'!Y60)</f>
        <v/>
      </c>
      <c r="J60" s="32">
        <f>IF('Checklist 93 Kontrol'!L60="","",'Checklist 93 Kontrol'!L60)</f>
        <v/>
      </c>
      <c r="K60" s="32">
        <f>IF('Checklist 93 Kontrol'!S60="","",'Checklist 93 Kontrol'!S60)</f>
        <v/>
      </c>
      <c r="L60" s="15">
        <f>IF('Checklist 93 Kontrol'!T60="","",'Checklist 93 Kontrol'!T60)</f>
        <v/>
      </c>
      <c r="M60" s="32">
        <f>IF('Checklist 93 Kontrol'!Z60="","",'Checklist 93 Kontrol'!Z60)</f>
        <v/>
      </c>
    </row>
    <row r="61" ht="42" customHeight="1">
      <c r="A61" s="1" t="n"/>
      <c r="B61" s="32">
        <f>IF('Checklist 93 Kontrol'!B61="","",'Checklist 93 Kontrol'!B61)</f>
        <v/>
      </c>
      <c r="C61" s="32">
        <f>IF('Checklist 93 Kontrol'!C61="","",'Checklist 93 Kontrol'!C61)</f>
        <v/>
      </c>
      <c r="D61" s="32">
        <f>IF('Checklist 93 Kontrol'!D61="","",'Checklist 93 Kontrol'!D61)</f>
        <v/>
      </c>
      <c r="E61" s="32">
        <f>IF('Checklist 93 Kontrol'!G61="","",'Checklist 93 Kontrol'!G61)</f>
        <v/>
      </c>
      <c r="F61" s="32">
        <f>IF('Checklist 93 Kontrol'!I61="","",'Checklist 93 Kontrol'!I61)</f>
        <v/>
      </c>
      <c r="G61" s="32">
        <f>IF('Checklist 93 Kontrol'!J61="","",'Checklist 93 Kontrol'!J61)</f>
        <v/>
      </c>
      <c r="H61" s="32">
        <f>IF('Checklist 93 Kontrol'!X61="","",'Checklist 93 Kontrol'!X61)</f>
        <v/>
      </c>
      <c r="I61" s="32">
        <f>IF('Checklist 93 Kontrol'!Y61="","",'Checklist 93 Kontrol'!Y61)</f>
        <v/>
      </c>
      <c r="J61" s="32">
        <f>IF('Checklist 93 Kontrol'!L61="","",'Checklist 93 Kontrol'!L61)</f>
        <v/>
      </c>
      <c r="K61" s="32">
        <f>IF('Checklist 93 Kontrol'!S61="","",'Checklist 93 Kontrol'!S61)</f>
        <v/>
      </c>
      <c r="L61" s="15">
        <f>IF('Checklist 93 Kontrol'!T61="","",'Checklist 93 Kontrol'!T61)</f>
        <v/>
      </c>
      <c r="M61" s="32">
        <f>IF('Checklist 93 Kontrol'!Z61="","",'Checklist 93 Kontrol'!Z61)</f>
        <v/>
      </c>
    </row>
    <row r="62" ht="42" customHeight="1">
      <c r="A62" s="1" t="n"/>
      <c r="B62" s="32">
        <f>IF('Checklist 93 Kontrol'!B62="","",'Checklist 93 Kontrol'!B62)</f>
        <v/>
      </c>
      <c r="C62" s="32">
        <f>IF('Checklist 93 Kontrol'!C62="","",'Checklist 93 Kontrol'!C62)</f>
        <v/>
      </c>
      <c r="D62" s="32">
        <f>IF('Checklist 93 Kontrol'!D62="","",'Checklist 93 Kontrol'!D62)</f>
        <v/>
      </c>
      <c r="E62" s="32">
        <f>IF('Checklist 93 Kontrol'!G62="","",'Checklist 93 Kontrol'!G62)</f>
        <v/>
      </c>
      <c r="F62" s="32">
        <f>IF('Checklist 93 Kontrol'!I62="","",'Checklist 93 Kontrol'!I62)</f>
        <v/>
      </c>
      <c r="G62" s="32">
        <f>IF('Checklist 93 Kontrol'!J62="","",'Checklist 93 Kontrol'!J62)</f>
        <v/>
      </c>
      <c r="H62" s="32">
        <f>IF('Checklist 93 Kontrol'!X62="","",'Checklist 93 Kontrol'!X62)</f>
        <v/>
      </c>
      <c r="I62" s="32">
        <f>IF('Checklist 93 Kontrol'!Y62="","",'Checklist 93 Kontrol'!Y62)</f>
        <v/>
      </c>
      <c r="J62" s="32">
        <f>IF('Checklist 93 Kontrol'!L62="","",'Checklist 93 Kontrol'!L62)</f>
        <v/>
      </c>
      <c r="K62" s="32">
        <f>IF('Checklist 93 Kontrol'!S62="","",'Checklist 93 Kontrol'!S62)</f>
        <v/>
      </c>
      <c r="L62" s="15">
        <f>IF('Checklist 93 Kontrol'!T62="","",'Checklist 93 Kontrol'!T62)</f>
        <v/>
      </c>
      <c r="M62" s="32">
        <f>IF('Checklist 93 Kontrol'!Z62="","",'Checklist 93 Kontrol'!Z62)</f>
        <v/>
      </c>
    </row>
    <row r="63" ht="42" customHeight="1">
      <c r="A63" s="1" t="n"/>
      <c r="B63" s="32">
        <f>IF('Checklist 93 Kontrol'!B63="","",'Checklist 93 Kontrol'!B63)</f>
        <v/>
      </c>
      <c r="C63" s="32">
        <f>IF('Checklist 93 Kontrol'!C63="","",'Checklist 93 Kontrol'!C63)</f>
        <v/>
      </c>
      <c r="D63" s="32">
        <f>IF('Checklist 93 Kontrol'!D63="","",'Checklist 93 Kontrol'!D63)</f>
        <v/>
      </c>
      <c r="E63" s="32">
        <f>IF('Checklist 93 Kontrol'!G63="","",'Checklist 93 Kontrol'!G63)</f>
        <v/>
      </c>
      <c r="F63" s="32">
        <f>IF('Checklist 93 Kontrol'!I63="","",'Checklist 93 Kontrol'!I63)</f>
        <v/>
      </c>
      <c r="G63" s="32">
        <f>IF('Checklist 93 Kontrol'!J63="","",'Checklist 93 Kontrol'!J63)</f>
        <v/>
      </c>
      <c r="H63" s="32">
        <f>IF('Checklist 93 Kontrol'!X63="","",'Checklist 93 Kontrol'!X63)</f>
        <v/>
      </c>
      <c r="I63" s="32">
        <f>IF('Checklist 93 Kontrol'!Y63="","",'Checklist 93 Kontrol'!Y63)</f>
        <v/>
      </c>
      <c r="J63" s="32">
        <f>IF('Checklist 93 Kontrol'!L63="","",'Checklist 93 Kontrol'!L63)</f>
        <v/>
      </c>
      <c r="K63" s="32">
        <f>IF('Checklist 93 Kontrol'!S63="","",'Checklist 93 Kontrol'!S63)</f>
        <v/>
      </c>
      <c r="L63" s="15">
        <f>IF('Checklist 93 Kontrol'!T63="","",'Checklist 93 Kontrol'!T63)</f>
        <v/>
      </c>
      <c r="M63" s="32">
        <f>IF('Checklist 93 Kontrol'!Z63="","",'Checklist 93 Kontrol'!Z63)</f>
        <v/>
      </c>
    </row>
    <row r="64" ht="42" customHeight="1">
      <c r="A64" s="1" t="n"/>
      <c r="B64" s="32">
        <f>IF('Checklist 93 Kontrol'!B64="","",'Checklist 93 Kontrol'!B64)</f>
        <v/>
      </c>
      <c r="C64" s="32">
        <f>IF('Checklist 93 Kontrol'!C64="","",'Checklist 93 Kontrol'!C64)</f>
        <v/>
      </c>
      <c r="D64" s="32">
        <f>IF('Checklist 93 Kontrol'!D64="","",'Checklist 93 Kontrol'!D64)</f>
        <v/>
      </c>
      <c r="E64" s="32">
        <f>IF('Checklist 93 Kontrol'!G64="","",'Checklist 93 Kontrol'!G64)</f>
        <v/>
      </c>
      <c r="F64" s="32">
        <f>IF('Checklist 93 Kontrol'!I64="","",'Checklist 93 Kontrol'!I64)</f>
        <v/>
      </c>
      <c r="G64" s="32">
        <f>IF('Checklist 93 Kontrol'!J64="","",'Checklist 93 Kontrol'!J64)</f>
        <v/>
      </c>
      <c r="H64" s="32">
        <f>IF('Checklist 93 Kontrol'!X64="","",'Checklist 93 Kontrol'!X64)</f>
        <v/>
      </c>
      <c r="I64" s="32">
        <f>IF('Checklist 93 Kontrol'!Y64="","",'Checklist 93 Kontrol'!Y64)</f>
        <v/>
      </c>
      <c r="J64" s="32">
        <f>IF('Checklist 93 Kontrol'!L64="","",'Checklist 93 Kontrol'!L64)</f>
        <v/>
      </c>
      <c r="K64" s="32">
        <f>IF('Checklist 93 Kontrol'!S64="","",'Checklist 93 Kontrol'!S64)</f>
        <v/>
      </c>
      <c r="L64" s="15">
        <f>IF('Checklist 93 Kontrol'!T64="","",'Checklist 93 Kontrol'!T64)</f>
        <v/>
      </c>
      <c r="M64" s="32">
        <f>IF('Checklist 93 Kontrol'!Z64="","",'Checklist 93 Kontrol'!Z64)</f>
        <v/>
      </c>
    </row>
    <row r="65" ht="42" customHeight="1">
      <c r="A65" s="1" t="n"/>
      <c r="B65" s="32">
        <f>IF('Checklist 93 Kontrol'!B65="","",'Checklist 93 Kontrol'!B65)</f>
        <v/>
      </c>
      <c r="C65" s="32">
        <f>IF('Checklist 93 Kontrol'!C65="","",'Checklist 93 Kontrol'!C65)</f>
        <v/>
      </c>
      <c r="D65" s="32">
        <f>IF('Checklist 93 Kontrol'!D65="","",'Checklist 93 Kontrol'!D65)</f>
        <v/>
      </c>
      <c r="E65" s="32">
        <f>IF('Checklist 93 Kontrol'!G65="","",'Checklist 93 Kontrol'!G65)</f>
        <v/>
      </c>
      <c r="F65" s="32">
        <f>IF('Checklist 93 Kontrol'!I65="","",'Checklist 93 Kontrol'!I65)</f>
        <v/>
      </c>
      <c r="G65" s="32">
        <f>IF('Checklist 93 Kontrol'!J65="","",'Checklist 93 Kontrol'!J65)</f>
        <v/>
      </c>
      <c r="H65" s="32">
        <f>IF('Checklist 93 Kontrol'!X65="","",'Checklist 93 Kontrol'!X65)</f>
        <v/>
      </c>
      <c r="I65" s="32">
        <f>IF('Checklist 93 Kontrol'!Y65="","",'Checklist 93 Kontrol'!Y65)</f>
        <v/>
      </c>
      <c r="J65" s="32">
        <f>IF('Checklist 93 Kontrol'!L65="","",'Checklist 93 Kontrol'!L65)</f>
        <v/>
      </c>
      <c r="K65" s="32">
        <f>IF('Checklist 93 Kontrol'!S65="","",'Checklist 93 Kontrol'!S65)</f>
        <v/>
      </c>
      <c r="L65" s="15">
        <f>IF('Checklist 93 Kontrol'!T65="","",'Checklist 93 Kontrol'!T65)</f>
        <v/>
      </c>
      <c r="M65" s="32">
        <f>IF('Checklist 93 Kontrol'!Z65="","",'Checklist 93 Kontrol'!Z65)</f>
        <v/>
      </c>
    </row>
    <row r="66" ht="42" customHeight="1">
      <c r="A66" s="1" t="n"/>
      <c r="B66" s="32">
        <f>IF('Checklist 93 Kontrol'!B66="","",'Checklist 93 Kontrol'!B66)</f>
        <v/>
      </c>
      <c r="C66" s="32">
        <f>IF('Checklist 93 Kontrol'!C66="","",'Checklist 93 Kontrol'!C66)</f>
        <v/>
      </c>
      <c r="D66" s="32">
        <f>IF('Checklist 93 Kontrol'!D66="","",'Checklist 93 Kontrol'!D66)</f>
        <v/>
      </c>
      <c r="E66" s="32">
        <f>IF('Checklist 93 Kontrol'!G66="","",'Checklist 93 Kontrol'!G66)</f>
        <v/>
      </c>
      <c r="F66" s="32">
        <f>IF('Checklist 93 Kontrol'!I66="","",'Checklist 93 Kontrol'!I66)</f>
        <v/>
      </c>
      <c r="G66" s="32">
        <f>IF('Checklist 93 Kontrol'!J66="","",'Checklist 93 Kontrol'!J66)</f>
        <v/>
      </c>
      <c r="H66" s="32">
        <f>IF('Checklist 93 Kontrol'!X66="","",'Checklist 93 Kontrol'!X66)</f>
        <v/>
      </c>
      <c r="I66" s="32">
        <f>IF('Checklist 93 Kontrol'!Y66="","",'Checklist 93 Kontrol'!Y66)</f>
        <v/>
      </c>
      <c r="J66" s="32">
        <f>IF('Checklist 93 Kontrol'!L66="","",'Checklist 93 Kontrol'!L66)</f>
        <v/>
      </c>
      <c r="K66" s="32">
        <f>IF('Checklist 93 Kontrol'!S66="","",'Checklist 93 Kontrol'!S66)</f>
        <v/>
      </c>
      <c r="L66" s="15">
        <f>IF('Checklist 93 Kontrol'!T66="","",'Checklist 93 Kontrol'!T66)</f>
        <v/>
      </c>
      <c r="M66" s="32">
        <f>IF('Checklist 93 Kontrol'!Z66="","",'Checklist 93 Kontrol'!Z66)</f>
        <v/>
      </c>
    </row>
    <row r="67" ht="42" customHeight="1">
      <c r="A67" s="1" t="n"/>
      <c r="B67" s="32">
        <f>IF('Checklist 93 Kontrol'!B67="","",'Checklist 93 Kontrol'!B67)</f>
        <v/>
      </c>
      <c r="C67" s="32">
        <f>IF('Checklist 93 Kontrol'!C67="","",'Checklist 93 Kontrol'!C67)</f>
        <v/>
      </c>
      <c r="D67" s="32">
        <f>IF('Checklist 93 Kontrol'!D67="","",'Checklist 93 Kontrol'!D67)</f>
        <v/>
      </c>
      <c r="E67" s="32">
        <f>IF('Checklist 93 Kontrol'!G67="","",'Checklist 93 Kontrol'!G67)</f>
        <v/>
      </c>
      <c r="F67" s="32">
        <f>IF('Checklist 93 Kontrol'!I67="","",'Checklist 93 Kontrol'!I67)</f>
        <v/>
      </c>
      <c r="G67" s="32">
        <f>IF('Checklist 93 Kontrol'!J67="","",'Checklist 93 Kontrol'!J67)</f>
        <v/>
      </c>
      <c r="H67" s="32">
        <f>IF('Checklist 93 Kontrol'!X67="","",'Checklist 93 Kontrol'!X67)</f>
        <v/>
      </c>
      <c r="I67" s="32">
        <f>IF('Checklist 93 Kontrol'!Y67="","",'Checklist 93 Kontrol'!Y67)</f>
        <v/>
      </c>
      <c r="J67" s="32">
        <f>IF('Checklist 93 Kontrol'!L67="","",'Checklist 93 Kontrol'!L67)</f>
        <v/>
      </c>
      <c r="K67" s="32">
        <f>IF('Checklist 93 Kontrol'!S67="","",'Checklist 93 Kontrol'!S67)</f>
        <v/>
      </c>
      <c r="L67" s="15">
        <f>IF('Checklist 93 Kontrol'!T67="","",'Checklist 93 Kontrol'!T67)</f>
        <v/>
      </c>
      <c r="M67" s="32">
        <f>IF('Checklist 93 Kontrol'!Z67="","",'Checklist 93 Kontrol'!Z67)</f>
        <v/>
      </c>
    </row>
    <row r="68" ht="42" customHeight="1">
      <c r="A68" s="1" t="n"/>
      <c r="B68" s="32">
        <f>IF('Checklist 93 Kontrol'!B68="","",'Checklist 93 Kontrol'!B68)</f>
        <v/>
      </c>
      <c r="C68" s="32">
        <f>IF('Checklist 93 Kontrol'!C68="","",'Checklist 93 Kontrol'!C68)</f>
        <v/>
      </c>
      <c r="D68" s="32">
        <f>IF('Checklist 93 Kontrol'!D68="","",'Checklist 93 Kontrol'!D68)</f>
        <v/>
      </c>
      <c r="E68" s="32">
        <f>IF('Checklist 93 Kontrol'!G68="","",'Checklist 93 Kontrol'!G68)</f>
        <v/>
      </c>
      <c r="F68" s="32">
        <f>IF('Checklist 93 Kontrol'!I68="","",'Checklist 93 Kontrol'!I68)</f>
        <v/>
      </c>
      <c r="G68" s="32">
        <f>IF('Checklist 93 Kontrol'!J68="","",'Checklist 93 Kontrol'!J68)</f>
        <v/>
      </c>
      <c r="H68" s="32">
        <f>IF('Checklist 93 Kontrol'!X68="","",'Checklist 93 Kontrol'!X68)</f>
        <v/>
      </c>
      <c r="I68" s="32">
        <f>IF('Checklist 93 Kontrol'!Y68="","",'Checklist 93 Kontrol'!Y68)</f>
        <v/>
      </c>
      <c r="J68" s="32">
        <f>IF('Checklist 93 Kontrol'!L68="","",'Checklist 93 Kontrol'!L68)</f>
        <v/>
      </c>
      <c r="K68" s="32">
        <f>IF('Checklist 93 Kontrol'!S68="","",'Checklist 93 Kontrol'!S68)</f>
        <v/>
      </c>
      <c r="L68" s="15">
        <f>IF('Checklist 93 Kontrol'!T68="","",'Checklist 93 Kontrol'!T68)</f>
        <v/>
      </c>
      <c r="M68" s="32">
        <f>IF('Checklist 93 Kontrol'!Z68="","",'Checklist 93 Kontrol'!Z68)</f>
        <v/>
      </c>
    </row>
    <row r="69" ht="42" customHeight="1">
      <c r="A69" s="1" t="n"/>
      <c r="B69" s="32">
        <f>IF('Checklist 93 Kontrol'!B69="","",'Checklist 93 Kontrol'!B69)</f>
        <v/>
      </c>
      <c r="C69" s="32">
        <f>IF('Checklist 93 Kontrol'!C69="","",'Checklist 93 Kontrol'!C69)</f>
        <v/>
      </c>
      <c r="D69" s="32">
        <f>IF('Checklist 93 Kontrol'!D69="","",'Checklist 93 Kontrol'!D69)</f>
        <v/>
      </c>
      <c r="E69" s="32">
        <f>IF('Checklist 93 Kontrol'!G69="","",'Checklist 93 Kontrol'!G69)</f>
        <v/>
      </c>
      <c r="F69" s="32">
        <f>IF('Checklist 93 Kontrol'!I69="","",'Checklist 93 Kontrol'!I69)</f>
        <v/>
      </c>
      <c r="G69" s="32">
        <f>IF('Checklist 93 Kontrol'!J69="","",'Checklist 93 Kontrol'!J69)</f>
        <v/>
      </c>
      <c r="H69" s="32">
        <f>IF('Checklist 93 Kontrol'!X69="","",'Checklist 93 Kontrol'!X69)</f>
        <v/>
      </c>
      <c r="I69" s="32">
        <f>IF('Checklist 93 Kontrol'!Y69="","",'Checklist 93 Kontrol'!Y69)</f>
        <v/>
      </c>
      <c r="J69" s="32">
        <f>IF('Checklist 93 Kontrol'!L69="","",'Checklist 93 Kontrol'!L69)</f>
        <v/>
      </c>
      <c r="K69" s="32">
        <f>IF('Checklist 93 Kontrol'!S69="","",'Checklist 93 Kontrol'!S69)</f>
        <v/>
      </c>
      <c r="L69" s="15">
        <f>IF('Checklist 93 Kontrol'!T69="","",'Checklist 93 Kontrol'!T69)</f>
        <v/>
      </c>
      <c r="M69" s="32">
        <f>IF('Checklist 93 Kontrol'!Z69="","",'Checklist 93 Kontrol'!Z69)</f>
        <v/>
      </c>
    </row>
    <row r="70" ht="42" customHeight="1">
      <c r="A70" s="1" t="n"/>
      <c r="B70" s="32">
        <f>IF('Checklist 93 Kontrol'!B70="","",'Checklist 93 Kontrol'!B70)</f>
        <v/>
      </c>
      <c r="C70" s="32">
        <f>IF('Checklist 93 Kontrol'!C70="","",'Checklist 93 Kontrol'!C70)</f>
        <v/>
      </c>
      <c r="D70" s="32">
        <f>IF('Checklist 93 Kontrol'!D70="","",'Checklist 93 Kontrol'!D70)</f>
        <v/>
      </c>
      <c r="E70" s="32">
        <f>IF('Checklist 93 Kontrol'!G70="","",'Checklist 93 Kontrol'!G70)</f>
        <v/>
      </c>
      <c r="F70" s="32">
        <f>IF('Checklist 93 Kontrol'!I70="","",'Checklist 93 Kontrol'!I70)</f>
        <v/>
      </c>
      <c r="G70" s="32">
        <f>IF('Checklist 93 Kontrol'!J70="","",'Checklist 93 Kontrol'!J70)</f>
        <v/>
      </c>
      <c r="H70" s="32">
        <f>IF('Checklist 93 Kontrol'!X70="","",'Checklist 93 Kontrol'!X70)</f>
        <v/>
      </c>
      <c r="I70" s="32">
        <f>IF('Checklist 93 Kontrol'!Y70="","",'Checklist 93 Kontrol'!Y70)</f>
        <v/>
      </c>
      <c r="J70" s="32">
        <f>IF('Checklist 93 Kontrol'!L70="","",'Checklist 93 Kontrol'!L70)</f>
        <v/>
      </c>
      <c r="K70" s="32">
        <f>IF('Checklist 93 Kontrol'!S70="","",'Checklist 93 Kontrol'!S70)</f>
        <v/>
      </c>
      <c r="L70" s="15">
        <f>IF('Checklist 93 Kontrol'!T70="","",'Checklist 93 Kontrol'!T70)</f>
        <v/>
      </c>
      <c r="M70" s="32">
        <f>IF('Checklist 93 Kontrol'!Z70="","",'Checklist 93 Kontrol'!Z70)</f>
        <v/>
      </c>
    </row>
    <row r="71" ht="42" customHeight="1">
      <c r="A71" s="1" t="n"/>
      <c r="B71" s="32">
        <f>IF('Checklist 93 Kontrol'!B71="","",'Checklist 93 Kontrol'!B71)</f>
        <v/>
      </c>
      <c r="C71" s="32">
        <f>IF('Checklist 93 Kontrol'!C71="","",'Checklist 93 Kontrol'!C71)</f>
        <v/>
      </c>
      <c r="D71" s="32">
        <f>IF('Checklist 93 Kontrol'!D71="","",'Checklist 93 Kontrol'!D71)</f>
        <v/>
      </c>
      <c r="E71" s="32">
        <f>IF('Checklist 93 Kontrol'!G71="","",'Checklist 93 Kontrol'!G71)</f>
        <v/>
      </c>
      <c r="F71" s="32">
        <f>IF('Checklist 93 Kontrol'!I71="","",'Checklist 93 Kontrol'!I71)</f>
        <v/>
      </c>
      <c r="G71" s="32">
        <f>IF('Checklist 93 Kontrol'!J71="","",'Checklist 93 Kontrol'!J71)</f>
        <v/>
      </c>
      <c r="H71" s="32">
        <f>IF('Checklist 93 Kontrol'!X71="","",'Checklist 93 Kontrol'!X71)</f>
        <v/>
      </c>
      <c r="I71" s="32">
        <f>IF('Checklist 93 Kontrol'!Y71="","",'Checklist 93 Kontrol'!Y71)</f>
        <v/>
      </c>
      <c r="J71" s="32">
        <f>IF('Checklist 93 Kontrol'!L71="","",'Checklist 93 Kontrol'!L71)</f>
        <v/>
      </c>
      <c r="K71" s="32">
        <f>IF('Checklist 93 Kontrol'!S71="","",'Checklist 93 Kontrol'!S71)</f>
        <v/>
      </c>
      <c r="L71" s="15">
        <f>IF('Checklist 93 Kontrol'!T71="","",'Checklist 93 Kontrol'!T71)</f>
        <v/>
      </c>
      <c r="M71" s="32">
        <f>IF('Checklist 93 Kontrol'!Z71="","",'Checklist 93 Kontrol'!Z71)</f>
        <v/>
      </c>
    </row>
    <row r="72" ht="42" customHeight="1">
      <c r="A72" s="1" t="n"/>
      <c r="B72" s="32">
        <f>IF('Checklist 93 Kontrol'!B72="","",'Checklist 93 Kontrol'!B72)</f>
        <v/>
      </c>
      <c r="C72" s="32">
        <f>IF('Checklist 93 Kontrol'!C72="","",'Checklist 93 Kontrol'!C72)</f>
        <v/>
      </c>
      <c r="D72" s="32">
        <f>IF('Checklist 93 Kontrol'!D72="","",'Checklist 93 Kontrol'!D72)</f>
        <v/>
      </c>
      <c r="E72" s="32">
        <f>IF('Checklist 93 Kontrol'!G72="","",'Checklist 93 Kontrol'!G72)</f>
        <v/>
      </c>
      <c r="F72" s="32">
        <f>IF('Checklist 93 Kontrol'!I72="","",'Checklist 93 Kontrol'!I72)</f>
        <v/>
      </c>
      <c r="G72" s="32">
        <f>IF('Checklist 93 Kontrol'!J72="","",'Checklist 93 Kontrol'!J72)</f>
        <v/>
      </c>
      <c r="H72" s="32">
        <f>IF('Checklist 93 Kontrol'!X72="","",'Checklist 93 Kontrol'!X72)</f>
        <v/>
      </c>
      <c r="I72" s="32">
        <f>IF('Checklist 93 Kontrol'!Y72="","",'Checklist 93 Kontrol'!Y72)</f>
        <v/>
      </c>
      <c r="J72" s="32">
        <f>IF('Checklist 93 Kontrol'!L72="","",'Checklist 93 Kontrol'!L72)</f>
        <v/>
      </c>
      <c r="K72" s="32">
        <f>IF('Checklist 93 Kontrol'!S72="","",'Checklist 93 Kontrol'!S72)</f>
        <v/>
      </c>
      <c r="L72" s="15">
        <f>IF('Checklist 93 Kontrol'!T72="","",'Checklist 93 Kontrol'!T72)</f>
        <v/>
      </c>
      <c r="M72" s="32">
        <f>IF('Checklist 93 Kontrol'!Z72="","",'Checklist 93 Kontrol'!Z72)</f>
        <v/>
      </c>
    </row>
    <row r="73" ht="42" customHeight="1">
      <c r="A73" s="1" t="n"/>
      <c r="B73" s="32">
        <f>IF('Checklist 93 Kontrol'!B73="","",'Checklist 93 Kontrol'!B73)</f>
        <v/>
      </c>
      <c r="C73" s="32">
        <f>IF('Checklist 93 Kontrol'!C73="","",'Checklist 93 Kontrol'!C73)</f>
        <v/>
      </c>
      <c r="D73" s="32">
        <f>IF('Checklist 93 Kontrol'!D73="","",'Checklist 93 Kontrol'!D73)</f>
        <v/>
      </c>
      <c r="E73" s="32">
        <f>IF('Checklist 93 Kontrol'!G73="","",'Checklist 93 Kontrol'!G73)</f>
        <v/>
      </c>
      <c r="F73" s="32">
        <f>IF('Checklist 93 Kontrol'!I73="","",'Checklist 93 Kontrol'!I73)</f>
        <v/>
      </c>
      <c r="G73" s="32">
        <f>IF('Checklist 93 Kontrol'!J73="","",'Checklist 93 Kontrol'!J73)</f>
        <v/>
      </c>
      <c r="H73" s="32">
        <f>IF('Checklist 93 Kontrol'!X73="","",'Checklist 93 Kontrol'!X73)</f>
        <v/>
      </c>
      <c r="I73" s="32">
        <f>IF('Checklist 93 Kontrol'!Y73="","",'Checklist 93 Kontrol'!Y73)</f>
        <v/>
      </c>
      <c r="J73" s="32">
        <f>IF('Checklist 93 Kontrol'!L73="","",'Checklist 93 Kontrol'!L73)</f>
        <v/>
      </c>
      <c r="K73" s="32">
        <f>IF('Checklist 93 Kontrol'!S73="","",'Checklist 93 Kontrol'!S73)</f>
        <v/>
      </c>
      <c r="L73" s="15">
        <f>IF('Checklist 93 Kontrol'!T73="","",'Checklist 93 Kontrol'!T73)</f>
        <v/>
      </c>
      <c r="M73" s="32">
        <f>IF('Checklist 93 Kontrol'!Z73="","",'Checklist 93 Kontrol'!Z73)</f>
        <v/>
      </c>
    </row>
    <row r="74" ht="42" customHeight="1">
      <c r="A74" s="1" t="n"/>
      <c r="B74" s="32">
        <f>IF('Checklist 93 Kontrol'!B74="","",'Checklist 93 Kontrol'!B74)</f>
        <v/>
      </c>
      <c r="C74" s="32">
        <f>IF('Checklist 93 Kontrol'!C74="","",'Checklist 93 Kontrol'!C74)</f>
        <v/>
      </c>
      <c r="D74" s="32">
        <f>IF('Checklist 93 Kontrol'!D74="","",'Checklist 93 Kontrol'!D74)</f>
        <v/>
      </c>
      <c r="E74" s="32">
        <f>IF('Checklist 93 Kontrol'!G74="","",'Checklist 93 Kontrol'!G74)</f>
        <v/>
      </c>
      <c r="F74" s="32">
        <f>IF('Checklist 93 Kontrol'!I74="","",'Checklist 93 Kontrol'!I74)</f>
        <v/>
      </c>
      <c r="G74" s="32">
        <f>IF('Checklist 93 Kontrol'!J74="","",'Checklist 93 Kontrol'!J74)</f>
        <v/>
      </c>
      <c r="H74" s="32">
        <f>IF('Checklist 93 Kontrol'!X74="","",'Checklist 93 Kontrol'!X74)</f>
        <v/>
      </c>
      <c r="I74" s="32">
        <f>IF('Checklist 93 Kontrol'!Y74="","",'Checklist 93 Kontrol'!Y74)</f>
        <v/>
      </c>
      <c r="J74" s="32">
        <f>IF('Checklist 93 Kontrol'!L74="","",'Checklist 93 Kontrol'!L74)</f>
        <v/>
      </c>
      <c r="K74" s="32">
        <f>IF('Checklist 93 Kontrol'!S74="","",'Checklist 93 Kontrol'!S74)</f>
        <v/>
      </c>
      <c r="L74" s="15">
        <f>IF('Checklist 93 Kontrol'!T74="","",'Checklist 93 Kontrol'!T74)</f>
        <v/>
      </c>
      <c r="M74" s="32">
        <f>IF('Checklist 93 Kontrol'!Z74="","",'Checklist 93 Kontrol'!Z74)</f>
        <v/>
      </c>
    </row>
    <row r="75" ht="42" customHeight="1">
      <c r="A75" s="1" t="n"/>
      <c r="B75" s="32">
        <f>IF('Checklist 93 Kontrol'!B75="","",'Checklist 93 Kontrol'!B75)</f>
        <v/>
      </c>
      <c r="C75" s="32">
        <f>IF('Checklist 93 Kontrol'!C75="","",'Checklist 93 Kontrol'!C75)</f>
        <v/>
      </c>
      <c r="D75" s="32">
        <f>IF('Checklist 93 Kontrol'!D75="","",'Checklist 93 Kontrol'!D75)</f>
        <v/>
      </c>
      <c r="E75" s="32">
        <f>IF('Checklist 93 Kontrol'!G75="","",'Checklist 93 Kontrol'!G75)</f>
        <v/>
      </c>
      <c r="F75" s="32">
        <f>IF('Checklist 93 Kontrol'!I75="","",'Checklist 93 Kontrol'!I75)</f>
        <v/>
      </c>
      <c r="G75" s="32">
        <f>IF('Checklist 93 Kontrol'!J75="","",'Checklist 93 Kontrol'!J75)</f>
        <v/>
      </c>
      <c r="H75" s="32">
        <f>IF('Checklist 93 Kontrol'!X75="","",'Checklist 93 Kontrol'!X75)</f>
        <v/>
      </c>
      <c r="I75" s="32">
        <f>IF('Checklist 93 Kontrol'!Y75="","",'Checklist 93 Kontrol'!Y75)</f>
        <v/>
      </c>
      <c r="J75" s="32">
        <f>IF('Checklist 93 Kontrol'!L75="","",'Checklist 93 Kontrol'!L75)</f>
        <v/>
      </c>
      <c r="K75" s="32">
        <f>IF('Checklist 93 Kontrol'!S75="","",'Checklist 93 Kontrol'!S75)</f>
        <v/>
      </c>
      <c r="L75" s="15">
        <f>IF('Checklist 93 Kontrol'!T75="","",'Checklist 93 Kontrol'!T75)</f>
        <v/>
      </c>
      <c r="M75" s="32">
        <f>IF('Checklist 93 Kontrol'!Z75="","",'Checklist 93 Kontrol'!Z75)</f>
        <v/>
      </c>
    </row>
    <row r="76" ht="42" customHeight="1">
      <c r="A76" s="1" t="n"/>
      <c r="B76" s="32">
        <f>IF('Checklist 93 Kontrol'!B76="","",'Checklist 93 Kontrol'!B76)</f>
        <v/>
      </c>
      <c r="C76" s="32">
        <f>IF('Checklist 93 Kontrol'!C76="","",'Checklist 93 Kontrol'!C76)</f>
        <v/>
      </c>
      <c r="D76" s="32">
        <f>IF('Checklist 93 Kontrol'!D76="","",'Checklist 93 Kontrol'!D76)</f>
        <v/>
      </c>
      <c r="E76" s="32">
        <f>IF('Checklist 93 Kontrol'!G76="","",'Checklist 93 Kontrol'!G76)</f>
        <v/>
      </c>
      <c r="F76" s="32">
        <f>IF('Checklist 93 Kontrol'!I76="","",'Checklist 93 Kontrol'!I76)</f>
        <v/>
      </c>
      <c r="G76" s="32">
        <f>IF('Checklist 93 Kontrol'!J76="","",'Checklist 93 Kontrol'!J76)</f>
        <v/>
      </c>
      <c r="H76" s="32">
        <f>IF('Checklist 93 Kontrol'!X76="","",'Checklist 93 Kontrol'!X76)</f>
        <v/>
      </c>
      <c r="I76" s="32">
        <f>IF('Checklist 93 Kontrol'!Y76="","",'Checklist 93 Kontrol'!Y76)</f>
        <v/>
      </c>
      <c r="J76" s="32">
        <f>IF('Checklist 93 Kontrol'!L76="","",'Checklist 93 Kontrol'!L76)</f>
        <v/>
      </c>
      <c r="K76" s="32">
        <f>IF('Checklist 93 Kontrol'!S76="","",'Checklist 93 Kontrol'!S76)</f>
        <v/>
      </c>
      <c r="L76" s="15">
        <f>IF('Checklist 93 Kontrol'!T76="","",'Checklist 93 Kontrol'!T76)</f>
        <v/>
      </c>
      <c r="M76" s="32">
        <f>IF('Checklist 93 Kontrol'!Z76="","",'Checklist 93 Kontrol'!Z76)</f>
        <v/>
      </c>
    </row>
    <row r="77" ht="42" customHeight="1">
      <c r="A77" s="1" t="n"/>
      <c r="B77" s="32">
        <f>IF('Checklist 93 Kontrol'!B77="","",'Checklist 93 Kontrol'!B77)</f>
        <v/>
      </c>
      <c r="C77" s="32">
        <f>IF('Checklist 93 Kontrol'!C77="","",'Checklist 93 Kontrol'!C77)</f>
        <v/>
      </c>
      <c r="D77" s="32">
        <f>IF('Checklist 93 Kontrol'!D77="","",'Checklist 93 Kontrol'!D77)</f>
        <v/>
      </c>
      <c r="E77" s="32">
        <f>IF('Checklist 93 Kontrol'!G77="","",'Checklist 93 Kontrol'!G77)</f>
        <v/>
      </c>
      <c r="F77" s="32">
        <f>IF('Checklist 93 Kontrol'!I77="","",'Checklist 93 Kontrol'!I77)</f>
        <v/>
      </c>
      <c r="G77" s="32">
        <f>IF('Checklist 93 Kontrol'!J77="","",'Checklist 93 Kontrol'!J77)</f>
        <v/>
      </c>
      <c r="H77" s="32">
        <f>IF('Checklist 93 Kontrol'!X77="","",'Checklist 93 Kontrol'!X77)</f>
        <v/>
      </c>
      <c r="I77" s="32">
        <f>IF('Checklist 93 Kontrol'!Y77="","",'Checklist 93 Kontrol'!Y77)</f>
        <v/>
      </c>
      <c r="J77" s="32">
        <f>IF('Checklist 93 Kontrol'!L77="","",'Checklist 93 Kontrol'!L77)</f>
        <v/>
      </c>
      <c r="K77" s="32">
        <f>IF('Checklist 93 Kontrol'!S77="","",'Checklist 93 Kontrol'!S77)</f>
        <v/>
      </c>
      <c r="L77" s="15">
        <f>IF('Checklist 93 Kontrol'!T77="","",'Checklist 93 Kontrol'!T77)</f>
        <v/>
      </c>
      <c r="M77" s="32">
        <f>IF('Checklist 93 Kontrol'!Z77="","",'Checklist 93 Kontrol'!Z77)</f>
        <v/>
      </c>
    </row>
    <row r="78" ht="42" customHeight="1">
      <c r="A78" s="1" t="n"/>
      <c r="B78" s="32">
        <f>IF('Checklist 93 Kontrol'!B78="","",'Checklist 93 Kontrol'!B78)</f>
        <v/>
      </c>
      <c r="C78" s="32">
        <f>IF('Checklist 93 Kontrol'!C78="","",'Checklist 93 Kontrol'!C78)</f>
        <v/>
      </c>
      <c r="D78" s="32">
        <f>IF('Checklist 93 Kontrol'!D78="","",'Checklist 93 Kontrol'!D78)</f>
        <v/>
      </c>
      <c r="E78" s="32">
        <f>IF('Checklist 93 Kontrol'!G78="","",'Checklist 93 Kontrol'!G78)</f>
        <v/>
      </c>
      <c r="F78" s="32">
        <f>IF('Checklist 93 Kontrol'!I78="","",'Checklist 93 Kontrol'!I78)</f>
        <v/>
      </c>
      <c r="G78" s="32">
        <f>IF('Checklist 93 Kontrol'!J78="","",'Checklist 93 Kontrol'!J78)</f>
        <v/>
      </c>
      <c r="H78" s="32">
        <f>IF('Checklist 93 Kontrol'!X78="","",'Checklist 93 Kontrol'!X78)</f>
        <v/>
      </c>
      <c r="I78" s="32">
        <f>IF('Checklist 93 Kontrol'!Y78="","",'Checklist 93 Kontrol'!Y78)</f>
        <v/>
      </c>
      <c r="J78" s="32">
        <f>IF('Checklist 93 Kontrol'!L78="","",'Checklist 93 Kontrol'!L78)</f>
        <v/>
      </c>
      <c r="K78" s="32">
        <f>IF('Checklist 93 Kontrol'!S78="","",'Checklist 93 Kontrol'!S78)</f>
        <v/>
      </c>
      <c r="L78" s="15">
        <f>IF('Checklist 93 Kontrol'!T78="","",'Checklist 93 Kontrol'!T78)</f>
        <v/>
      </c>
      <c r="M78" s="32">
        <f>IF('Checklist 93 Kontrol'!Z78="","",'Checklist 93 Kontrol'!Z78)</f>
        <v/>
      </c>
    </row>
    <row r="79" ht="42" customHeight="1">
      <c r="A79" s="1" t="n"/>
      <c r="B79" s="32">
        <f>IF('Checklist 93 Kontrol'!B79="","",'Checklist 93 Kontrol'!B79)</f>
        <v/>
      </c>
      <c r="C79" s="32">
        <f>IF('Checklist 93 Kontrol'!C79="","",'Checklist 93 Kontrol'!C79)</f>
        <v/>
      </c>
      <c r="D79" s="32">
        <f>IF('Checklist 93 Kontrol'!D79="","",'Checklist 93 Kontrol'!D79)</f>
        <v/>
      </c>
      <c r="E79" s="32">
        <f>IF('Checklist 93 Kontrol'!G79="","",'Checklist 93 Kontrol'!G79)</f>
        <v/>
      </c>
      <c r="F79" s="32">
        <f>IF('Checklist 93 Kontrol'!I79="","",'Checklist 93 Kontrol'!I79)</f>
        <v/>
      </c>
      <c r="G79" s="32">
        <f>IF('Checklist 93 Kontrol'!J79="","",'Checklist 93 Kontrol'!J79)</f>
        <v/>
      </c>
      <c r="H79" s="32">
        <f>IF('Checklist 93 Kontrol'!X79="","",'Checklist 93 Kontrol'!X79)</f>
        <v/>
      </c>
      <c r="I79" s="32">
        <f>IF('Checklist 93 Kontrol'!Y79="","",'Checklist 93 Kontrol'!Y79)</f>
        <v/>
      </c>
      <c r="J79" s="32">
        <f>IF('Checklist 93 Kontrol'!L79="","",'Checklist 93 Kontrol'!L79)</f>
        <v/>
      </c>
      <c r="K79" s="32">
        <f>IF('Checklist 93 Kontrol'!S79="","",'Checklist 93 Kontrol'!S79)</f>
        <v/>
      </c>
      <c r="L79" s="15">
        <f>IF('Checklist 93 Kontrol'!T79="","",'Checklist 93 Kontrol'!T79)</f>
        <v/>
      </c>
      <c r="M79" s="32">
        <f>IF('Checklist 93 Kontrol'!Z79="","",'Checklist 93 Kontrol'!Z79)</f>
        <v/>
      </c>
    </row>
    <row r="80" ht="42" customHeight="1">
      <c r="A80" s="1" t="n"/>
      <c r="B80" s="32">
        <f>IF('Checklist 93 Kontrol'!B80="","",'Checklist 93 Kontrol'!B80)</f>
        <v/>
      </c>
      <c r="C80" s="32">
        <f>IF('Checklist 93 Kontrol'!C80="","",'Checklist 93 Kontrol'!C80)</f>
        <v/>
      </c>
      <c r="D80" s="32">
        <f>IF('Checklist 93 Kontrol'!D80="","",'Checklist 93 Kontrol'!D80)</f>
        <v/>
      </c>
      <c r="E80" s="32">
        <f>IF('Checklist 93 Kontrol'!G80="","",'Checklist 93 Kontrol'!G80)</f>
        <v/>
      </c>
      <c r="F80" s="32">
        <f>IF('Checklist 93 Kontrol'!I80="","",'Checklist 93 Kontrol'!I80)</f>
        <v/>
      </c>
      <c r="G80" s="32">
        <f>IF('Checklist 93 Kontrol'!J80="","",'Checklist 93 Kontrol'!J80)</f>
        <v/>
      </c>
      <c r="H80" s="32">
        <f>IF('Checklist 93 Kontrol'!X80="","",'Checklist 93 Kontrol'!X80)</f>
        <v/>
      </c>
      <c r="I80" s="32">
        <f>IF('Checklist 93 Kontrol'!Y80="","",'Checklist 93 Kontrol'!Y80)</f>
        <v/>
      </c>
      <c r="J80" s="32">
        <f>IF('Checklist 93 Kontrol'!L80="","",'Checklist 93 Kontrol'!L80)</f>
        <v/>
      </c>
      <c r="K80" s="32">
        <f>IF('Checklist 93 Kontrol'!S80="","",'Checklist 93 Kontrol'!S80)</f>
        <v/>
      </c>
      <c r="L80" s="15">
        <f>IF('Checklist 93 Kontrol'!T80="","",'Checklist 93 Kontrol'!T80)</f>
        <v/>
      </c>
      <c r="M80" s="32">
        <f>IF('Checklist 93 Kontrol'!Z80="","",'Checklist 93 Kontrol'!Z80)</f>
        <v/>
      </c>
    </row>
    <row r="81" ht="42" customHeight="1">
      <c r="A81" s="1" t="n"/>
      <c r="B81" s="32">
        <f>IF('Checklist 93 Kontrol'!B81="","",'Checklist 93 Kontrol'!B81)</f>
        <v/>
      </c>
      <c r="C81" s="32">
        <f>IF('Checklist 93 Kontrol'!C81="","",'Checklist 93 Kontrol'!C81)</f>
        <v/>
      </c>
      <c r="D81" s="32">
        <f>IF('Checklist 93 Kontrol'!D81="","",'Checklist 93 Kontrol'!D81)</f>
        <v/>
      </c>
      <c r="E81" s="32">
        <f>IF('Checklist 93 Kontrol'!G81="","",'Checklist 93 Kontrol'!G81)</f>
        <v/>
      </c>
      <c r="F81" s="32">
        <f>IF('Checklist 93 Kontrol'!I81="","",'Checklist 93 Kontrol'!I81)</f>
        <v/>
      </c>
      <c r="G81" s="32">
        <f>IF('Checklist 93 Kontrol'!J81="","",'Checklist 93 Kontrol'!J81)</f>
        <v/>
      </c>
      <c r="H81" s="32">
        <f>IF('Checklist 93 Kontrol'!X81="","",'Checklist 93 Kontrol'!X81)</f>
        <v/>
      </c>
      <c r="I81" s="32">
        <f>IF('Checklist 93 Kontrol'!Y81="","",'Checklist 93 Kontrol'!Y81)</f>
        <v/>
      </c>
      <c r="J81" s="32">
        <f>IF('Checklist 93 Kontrol'!L81="","",'Checklist 93 Kontrol'!L81)</f>
        <v/>
      </c>
      <c r="K81" s="32">
        <f>IF('Checklist 93 Kontrol'!S81="","",'Checklist 93 Kontrol'!S81)</f>
        <v/>
      </c>
      <c r="L81" s="15">
        <f>IF('Checklist 93 Kontrol'!T81="","",'Checklist 93 Kontrol'!T81)</f>
        <v/>
      </c>
      <c r="M81" s="32">
        <f>IF('Checklist 93 Kontrol'!Z81="","",'Checklist 93 Kontrol'!Z81)</f>
        <v/>
      </c>
    </row>
    <row r="82" ht="42" customHeight="1">
      <c r="A82" s="1" t="n"/>
      <c r="B82" s="32">
        <f>IF('Checklist 93 Kontrol'!B82="","",'Checklist 93 Kontrol'!B82)</f>
        <v/>
      </c>
      <c r="C82" s="32">
        <f>IF('Checklist 93 Kontrol'!C82="","",'Checklist 93 Kontrol'!C82)</f>
        <v/>
      </c>
      <c r="D82" s="32">
        <f>IF('Checklist 93 Kontrol'!D82="","",'Checklist 93 Kontrol'!D82)</f>
        <v/>
      </c>
      <c r="E82" s="32">
        <f>IF('Checklist 93 Kontrol'!G82="","",'Checklist 93 Kontrol'!G82)</f>
        <v/>
      </c>
      <c r="F82" s="32">
        <f>IF('Checklist 93 Kontrol'!I82="","",'Checklist 93 Kontrol'!I82)</f>
        <v/>
      </c>
      <c r="G82" s="32">
        <f>IF('Checklist 93 Kontrol'!J82="","",'Checklist 93 Kontrol'!J82)</f>
        <v/>
      </c>
      <c r="H82" s="32">
        <f>IF('Checklist 93 Kontrol'!X82="","",'Checklist 93 Kontrol'!X82)</f>
        <v/>
      </c>
      <c r="I82" s="32">
        <f>IF('Checklist 93 Kontrol'!Y82="","",'Checklist 93 Kontrol'!Y82)</f>
        <v/>
      </c>
      <c r="J82" s="32">
        <f>IF('Checklist 93 Kontrol'!L82="","",'Checklist 93 Kontrol'!L82)</f>
        <v/>
      </c>
      <c r="K82" s="32">
        <f>IF('Checklist 93 Kontrol'!S82="","",'Checklist 93 Kontrol'!S82)</f>
        <v/>
      </c>
      <c r="L82" s="15">
        <f>IF('Checklist 93 Kontrol'!T82="","",'Checklist 93 Kontrol'!T82)</f>
        <v/>
      </c>
      <c r="M82" s="32">
        <f>IF('Checklist 93 Kontrol'!Z82="","",'Checklist 93 Kontrol'!Z82)</f>
        <v/>
      </c>
    </row>
    <row r="83" ht="42" customHeight="1">
      <c r="A83" s="1" t="n"/>
      <c r="B83" s="32">
        <f>IF('Checklist 93 Kontrol'!B83="","",'Checklist 93 Kontrol'!B83)</f>
        <v/>
      </c>
      <c r="C83" s="32">
        <f>IF('Checklist 93 Kontrol'!C83="","",'Checklist 93 Kontrol'!C83)</f>
        <v/>
      </c>
      <c r="D83" s="32">
        <f>IF('Checklist 93 Kontrol'!D83="","",'Checklist 93 Kontrol'!D83)</f>
        <v/>
      </c>
      <c r="E83" s="32">
        <f>IF('Checklist 93 Kontrol'!G83="","",'Checklist 93 Kontrol'!G83)</f>
        <v/>
      </c>
      <c r="F83" s="32">
        <f>IF('Checklist 93 Kontrol'!I83="","",'Checklist 93 Kontrol'!I83)</f>
        <v/>
      </c>
      <c r="G83" s="32">
        <f>IF('Checklist 93 Kontrol'!J83="","",'Checklist 93 Kontrol'!J83)</f>
        <v/>
      </c>
      <c r="H83" s="32">
        <f>IF('Checklist 93 Kontrol'!X83="","",'Checklist 93 Kontrol'!X83)</f>
        <v/>
      </c>
      <c r="I83" s="32">
        <f>IF('Checklist 93 Kontrol'!Y83="","",'Checklist 93 Kontrol'!Y83)</f>
        <v/>
      </c>
      <c r="J83" s="32">
        <f>IF('Checklist 93 Kontrol'!L83="","",'Checklist 93 Kontrol'!L83)</f>
        <v/>
      </c>
      <c r="K83" s="32">
        <f>IF('Checklist 93 Kontrol'!S83="","",'Checklist 93 Kontrol'!S83)</f>
        <v/>
      </c>
      <c r="L83" s="15">
        <f>IF('Checklist 93 Kontrol'!T83="","",'Checklist 93 Kontrol'!T83)</f>
        <v/>
      </c>
      <c r="M83" s="32">
        <f>IF('Checklist 93 Kontrol'!Z83="","",'Checklist 93 Kontrol'!Z83)</f>
        <v/>
      </c>
    </row>
    <row r="84" ht="42" customHeight="1">
      <c r="A84" s="1" t="n"/>
      <c r="B84" s="32">
        <f>IF('Checklist 93 Kontrol'!B84="","",'Checklist 93 Kontrol'!B84)</f>
        <v/>
      </c>
      <c r="C84" s="32">
        <f>IF('Checklist 93 Kontrol'!C84="","",'Checklist 93 Kontrol'!C84)</f>
        <v/>
      </c>
      <c r="D84" s="32">
        <f>IF('Checklist 93 Kontrol'!D84="","",'Checklist 93 Kontrol'!D84)</f>
        <v/>
      </c>
      <c r="E84" s="32">
        <f>IF('Checklist 93 Kontrol'!G84="","",'Checklist 93 Kontrol'!G84)</f>
        <v/>
      </c>
      <c r="F84" s="32">
        <f>IF('Checklist 93 Kontrol'!I84="","",'Checklist 93 Kontrol'!I84)</f>
        <v/>
      </c>
      <c r="G84" s="32">
        <f>IF('Checklist 93 Kontrol'!J84="","",'Checklist 93 Kontrol'!J84)</f>
        <v/>
      </c>
      <c r="H84" s="32">
        <f>IF('Checklist 93 Kontrol'!X84="","",'Checklist 93 Kontrol'!X84)</f>
        <v/>
      </c>
      <c r="I84" s="32">
        <f>IF('Checklist 93 Kontrol'!Y84="","",'Checklist 93 Kontrol'!Y84)</f>
        <v/>
      </c>
      <c r="J84" s="32">
        <f>IF('Checklist 93 Kontrol'!L84="","",'Checklist 93 Kontrol'!L84)</f>
        <v/>
      </c>
      <c r="K84" s="32">
        <f>IF('Checklist 93 Kontrol'!S84="","",'Checklist 93 Kontrol'!S84)</f>
        <v/>
      </c>
      <c r="L84" s="15">
        <f>IF('Checklist 93 Kontrol'!T84="","",'Checklist 93 Kontrol'!T84)</f>
        <v/>
      </c>
      <c r="M84" s="32">
        <f>IF('Checklist 93 Kontrol'!Z84="","",'Checklist 93 Kontrol'!Z84)</f>
        <v/>
      </c>
    </row>
    <row r="85" ht="42" customHeight="1">
      <c r="A85" s="1" t="n"/>
      <c r="B85" s="32">
        <f>IF('Checklist 93 Kontrol'!B85="","",'Checklist 93 Kontrol'!B85)</f>
        <v/>
      </c>
      <c r="C85" s="32">
        <f>IF('Checklist 93 Kontrol'!C85="","",'Checklist 93 Kontrol'!C85)</f>
        <v/>
      </c>
      <c r="D85" s="32">
        <f>IF('Checklist 93 Kontrol'!D85="","",'Checklist 93 Kontrol'!D85)</f>
        <v/>
      </c>
      <c r="E85" s="32">
        <f>IF('Checklist 93 Kontrol'!G85="","",'Checklist 93 Kontrol'!G85)</f>
        <v/>
      </c>
      <c r="F85" s="32">
        <f>IF('Checklist 93 Kontrol'!I85="","",'Checklist 93 Kontrol'!I85)</f>
        <v/>
      </c>
      <c r="G85" s="32">
        <f>IF('Checklist 93 Kontrol'!J85="","",'Checklist 93 Kontrol'!J85)</f>
        <v/>
      </c>
      <c r="H85" s="32">
        <f>IF('Checklist 93 Kontrol'!X85="","",'Checklist 93 Kontrol'!X85)</f>
        <v/>
      </c>
      <c r="I85" s="32">
        <f>IF('Checklist 93 Kontrol'!Y85="","",'Checklist 93 Kontrol'!Y85)</f>
        <v/>
      </c>
      <c r="J85" s="32">
        <f>IF('Checklist 93 Kontrol'!L85="","",'Checklist 93 Kontrol'!L85)</f>
        <v/>
      </c>
      <c r="K85" s="32">
        <f>IF('Checklist 93 Kontrol'!S85="","",'Checklist 93 Kontrol'!S85)</f>
        <v/>
      </c>
      <c r="L85" s="15">
        <f>IF('Checklist 93 Kontrol'!T85="","",'Checklist 93 Kontrol'!T85)</f>
        <v/>
      </c>
      <c r="M85" s="32">
        <f>IF('Checklist 93 Kontrol'!Z85="","",'Checklist 93 Kontrol'!Z85)</f>
        <v/>
      </c>
    </row>
    <row r="86" ht="42" customHeight="1">
      <c r="A86" s="1" t="n"/>
      <c r="B86" s="32">
        <f>IF('Checklist 93 Kontrol'!B86="","",'Checklist 93 Kontrol'!B86)</f>
        <v/>
      </c>
      <c r="C86" s="32">
        <f>IF('Checklist 93 Kontrol'!C86="","",'Checklist 93 Kontrol'!C86)</f>
        <v/>
      </c>
      <c r="D86" s="32">
        <f>IF('Checklist 93 Kontrol'!D86="","",'Checklist 93 Kontrol'!D86)</f>
        <v/>
      </c>
      <c r="E86" s="32">
        <f>IF('Checklist 93 Kontrol'!G86="","",'Checklist 93 Kontrol'!G86)</f>
        <v/>
      </c>
      <c r="F86" s="32">
        <f>IF('Checklist 93 Kontrol'!I86="","",'Checklist 93 Kontrol'!I86)</f>
        <v/>
      </c>
      <c r="G86" s="32">
        <f>IF('Checklist 93 Kontrol'!J86="","",'Checklist 93 Kontrol'!J86)</f>
        <v/>
      </c>
      <c r="H86" s="32">
        <f>IF('Checklist 93 Kontrol'!X86="","",'Checklist 93 Kontrol'!X86)</f>
        <v/>
      </c>
      <c r="I86" s="32">
        <f>IF('Checklist 93 Kontrol'!Y86="","",'Checklist 93 Kontrol'!Y86)</f>
        <v/>
      </c>
      <c r="J86" s="32">
        <f>IF('Checklist 93 Kontrol'!L86="","",'Checklist 93 Kontrol'!L86)</f>
        <v/>
      </c>
      <c r="K86" s="32">
        <f>IF('Checklist 93 Kontrol'!S86="","",'Checklist 93 Kontrol'!S86)</f>
        <v/>
      </c>
      <c r="L86" s="15">
        <f>IF('Checklist 93 Kontrol'!T86="","",'Checklist 93 Kontrol'!T86)</f>
        <v/>
      </c>
      <c r="M86" s="32">
        <f>IF('Checklist 93 Kontrol'!Z86="","",'Checklist 93 Kontrol'!Z86)</f>
        <v/>
      </c>
    </row>
    <row r="87" ht="42" customHeight="1">
      <c r="A87" s="1" t="n"/>
      <c r="B87" s="32">
        <f>IF('Checklist 93 Kontrol'!B87="","",'Checklist 93 Kontrol'!B87)</f>
        <v/>
      </c>
      <c r="C87" s="32">
        <f>IF('Checklist 93 Kontrol'!C87="","",'Checklist 93 Kontrol'!C87)</f>
        <v/>
      </c>
      <c r="D87" s="32">
        <f>IF('Checklist 93 Kontrol'!D87="","",'Checklist 93 Kontrol'!D87)</f>
        <v/>
      </c>
      <c r="E87" s="32">
        <f>IF('Checklist 93 Kontrol'!G87="","",'Checklist 93 Kontrol'!G87)</f>
        <v/>
      </c>
      <c r="F87" s="32">
        <f>IF('Checklist 93 Kontrol'!I87="","",'Checklist 93 Kontrol'!I87)</f>
        <v/>
      </c>
      <c r="G87" s="32">
        <f>IF('Checklist 93 Kontrol'!J87="","",'Checklist 93 Kontrol'!J87)</f>
        <v/>
      </c>
      <c r="H87" s="32">
        <f>IF('Checklist 93 Kontrol'!X87="","",'Checklist 93 Kontrol'!X87)</f>
        <v/>
      </c>
      <c r="I87" s="32">
        <f>IF('Checklist 93 Kontrol'!Y87="","",'Checklist 93 Kontrol'!Y87)</f>
        <v/>
      </c>
      <c r="J87" s="32">
        <f>IF('Checklist 93 Kontrol'!L87="","",'Checklist 93 Kontrol'!L87)</f>
        <v/>
      </c>
      <c r="K87" s="32">
        <f>IF('Checklist 93 Kontrol'!S87="","",'Checklist 93 Kontrol'!S87)</f>
        <v/>
      </c>
      <c r="L87" s="15">
        <f>IF('Checklist 93 Kontrol'!T87="","",'Checklist 93 Kontrol'!T87)</f>
        <v/>
      </c>
      <c r="M87" s="32">
        <f>IF('Checklist 93 Kontrol'!Z87="","",'Checklist 93 Kontrol'!Z87)</f>
        <v/>
      </c>
    </row>
    <row r="88" ht="42" customHeight="1">
      <c r="A88" s="1" t="n"/>
      <c r="B88" s="32">
        <f>IF('Checklist 93 Kontrol'!B88="","",'Checklist 93 Kontrol'!B88)</f>
        <v/>
      </c>
      <c r="C88" s="32">
        <f>IF('Checklist 93 Kontrol'!C88="","",'Checklist 93 Kontrol'!C88)</f>
        <v/>
      </c>
      <c r="D88" s="32">
        <f>IF('Checklist 93 Kontrol'!D88="","",'Checklist 93 Kontrol'!D88)</f>
        <v/>
      </c>
      <c r="E88" s="32">
        <f>IF('Checklist 93 Kontrol'!G88="","",'Checklist 93 Kontrol'!G88)</f>
        <v/>
      </c>
      <c r="F88" s="32">
        <f>IF('Checklist 93 Kontrol'!I88="","",'Checklist 93 Kontrol'!I88)</f>
        <v/>
      </c>
      <c r="G88" s="32">
        <f>IF('Checklist 93 Kontrol'!J88="","",'Checklist 93 Kontrol'!J88)</f>
        <v/>
      </c>
      <c r="H88" s="32">
        <f>IF('Checklist 93 Kontrol'!X88="","",'Checklist 93 Kontrol'!X88)</f>
        <v/>
      </c>
      <c r="I88" s="32">
        <f>IF('Checklist 93 Kontrol'!Y88="","",'Checklist 93 Kontrol'!Y88)</f>
        <v/>
      </c>
      <c r="J88" s="32">
        <f>IF('Checklist 93 Kontrol'!L88="","",'Checklist 93 Kontrol'!L88)</f>
        <v/>
      </c>
      <c r="K88" s="32">
        <f>IF('Checklist 93 Kontrol'!S88="","",'Checklist 93 Kontrol'!S88)</f>
        <v/>
      </c>
      <c r="L88" s="15">
        <f>IF('Checklist 93 Kontrol'!T88="","",'Checklist 93 Kontrol'!T88)</f>
        <v/>
      </c>
      <c r="M88" s="32">
        <f>IF('Checklist 93 Kontrol'!Z88="","",'Checklist 93 Kontrol'!Z88)</f>
        <v/>
      </c>
    </row>
    <row r="89" ht="42" customHeight="1">
      <c r="A89" s="1" t="n"/>
      <c r="B89" s="32">
        <f>IF('Checklist 93 Kontrol'!B89="","",'Checklist 93 Kontrol'!B89)</f>
        <v/>
      </c>
      <c r="C89" s="32">
        <f>IF('Checklist 93 Kontrol'!C89="","",'Checklist 93 Kontrol'!C89)</f>
        <v/>
      </c>
      <c r="D89" s="32">
        <f>IF('Checklist 93 Kontrol'!D89="","",'Checklist 93 Kontrol'!D89)</f>
        <v/>
      </c>
      <c r="E89" s="32">
        <f>IF('Checklist 93 Kontrol'!G89="","",'Checklist 93 Kontrol'!G89)</f>
        <v/>
      </c>
      <c r="F89" s="32">
        <f>IF('Checklist 93 Kontrol'!I89="","",'Checklist 93 Kontrol'!I89)</f>
        <v/>
      </c>
      <c r="G89" s="32">
        <f>IF('Checklist 93 Kontrol'!J89="","",'Checklist 93 Kontrol'!J89)</f>
        <v/>
      </c>
      <c r="H89" s="32">
        <f>IF('Checklist 93 Kontrol'!X89="","",'Checklist 93 Kontrol'!X89)</f>
        <v/>
      </c>
      <c r="I89" s="32">
        <f>IF('Checklist 93 Kontrol'!Y89="","",'Checklist 93 Kontrol'!Y89)</f>
        <v/>
      </c>
      <c r="J89" s="32">
        <f>IF('Checklist 93 Kontrol'!L89="","",'Checklist 93 Kontrol'!L89)</f>
        <v/>
      </c>
      <c r="K89" s="32">
        <f>IF('Checklist 93 Kontrol'!S89="","",'Checklist 93 Kontrol'!S89)</f>
        <v/>
      </c>
      <c r="L89" s="15">
        <f>IF('Checklist 93 Kontrol'!T89="","",'Checklist 93 Kontrol'!T89)</f>
        <v/>
      </c>
      <c r="M89" s="32">
        <f>IF('Checklist 93 Kontrol'!Z89="","",'Checklist 93 Kontrol'!Z89)</f>
        <v/>
      </c>
    </row>
    <row r="90" ht="42" customHeight="1">
      <c r="A90" s="1" t="n"/>
      <c r="B90" s="32">
        <f>IF('Checklist 93 Kontrol'!B90="","",'Checklist 93 Kontrol'!B90)</f>
        <v/>
      </c>
      <c r="C90" s="32">
        <f>IF('Checklist 93 Kontrol'!C90="","",'Checklist 93 Kontrol'!C90)</f>
        <v/>
      </c>
      <c r="D90" s="32">
        <f>IF('Checklist 93 Kontrol'!D90="","",'Checklist 93 Kontrol'!D90)</f>
        <v/>
      </c>
      <c r="E90" s="32">
        <f>IF('Checklist 93 Kontrol'!G90="","",'Checklist 93 Kontrol'!G90)</f>
        <v/>
      </c>
      <c r="F90" s="32">
        <f>IF('Checklist 93 Kontrol'!I90="","",'Checklist 93 Kontrol'!I90)</f>
        <v/>
      </c>
      <c r="G90" s="32">
        <f>IF('Checklist 93 Kontrol'!J90="","",'Checklist 93 Kontrol'!J90)</f>
        <v/>
      </c>
      <c r="H90" s="32">
        <f>IF('Checklist 93 Kontrol'!X90="","",'Checklist 93 Kontrol'!X90)</f>
        <v/>
      </c>
      <c r="I90" s="32">
        <f>IF('Checklist 93 Kontrol'!Y90="","",'Checklist 93 Kontrol'!Y90)</f>
        <v/>
      </c>
      <c r="J90" s="32">
        <f>IF('Checklist 93 Kontrol'!L90="","",'Checklist 93 Kontrol'!L90)</f>
        <v/>
      </c>
      <c r="K90" s="32">
        <f>IF('Checklist 93 Kontrol'!S90="","",'Checklist 93 Kontrol'!S90)</f>
        <v/>
      </c>
      <c r="L90" s="15">
        <f>IF('Checklist 93 Kontrol'!T90="","",'Checklist 93 Kontrol'!T90)</f>
        <v/>
      </c>
      <c r="M90" s="32">
        <f>IF('Checklist 93 Kontrol'!Z90="","",'Checklist 93 Kontrol'!Z90)</f>
        <v/>
      </c>
    </row>
    <row r="91" ht="42" customHeight="1">
      <c r="A91" s="1" t="n"/>
      <c r="B91" s="32">
        <f>IF('Checklist 93 Kontrol'!B91="","",'Checklist 93 Kontrol'!B91)</f>
        <v/>
      </c>
      <c r="C91" s="32">
        <f>IF('Checklist 93 Kontrol'!C91="","",'Checklist 93 Kontrol'!C91)</f>
        <v/>
      </c>
      <c r="D91" s="32">
        <f>IF('Checklist 93 Kontrol'!D91="","",'Checklist 93 Kontrol'!D91)</f>
        <v/>
      </c>
      <c r="E91" s="32">
        <f>IF('Checklist 93 Kontrol'!G91="","",'Checklist 93 Kontrol'!G91)</f>
        <v/>
      </c>
      <c r="F91" s="32">
        <f>IF('Checklist 93 Kontrol'!I91="","",'Checklist 93 Kontrol'!I91)</f>
        <v/>
      </c>
      <c r="G91" s="32">
        <f>IF('Checklist 93 Kontrol'!J91="","",'Checklist 93 Kontrol'!J91)</f>
        <v/>
      </c>
      <c r="H91" s="32">
        <f>IF('Checklist 93 Kontrol'!X91="","",'Checklist 93 Kontrol'!X91)</f>
        <v/>
      </c>
      <c r="I91" s="32">
        <f>IF('Checklist 93 Kontrol'!Y91="","",'Checklist 93 Kontrol'!Y91)</f>
        <v/>
      </c>
      <c r="J91" s="32">
        <f>IF('Checklist 93 Kontrol'!L91="","",'Checklist 93 Kontrol'!L91)</f>
        <v/>
      </c>
      <c r="K91" s="32">
        <f>IF('Checklist 93 Kontrol'!S91="","",'Checklist 93 Kontrol'!S91)</f>
        <v/>
      </c>
      <c r="L91" s="15">
        <f>IF('Checklist 93 Kontrol'!T91="","",'Checklist 93 Kontrol'!T91)</f>
        <v/>
      </c>
      <c r="M91" s="32">
        <f>IF('Checklist 93 Kontrol'!Z91="","",'Checklist 93 Kontrol'!Z91)</f>
        <v/>
      </c>
    </row>
    <row r="92" ht="42" customHeight="1">
      <c r="A92" s="1" t="n"/>
      <c r="B92" s="32">
        <f>IF('Checklist 93 Kontrol'!B92="","",'Checklist 93 Kontrol'!B92)</f>
        <v/>
      </c>
      <c r="C92" s="32">
        <f>IF('Checklist 93 Kontrol'!C92="","",'Checklist 93 Kontrol'!C92)</f>
        <v/>
      </c>
      <c r="D92" s="32">
        <f>IF('Checklist 93 Kontrol'!D92="","",'Checklist 93 Kontrol'!D92)</f>
        <v/>
      </c>
      <c r="E92" s="32">
        <f>IF('Checklist 93 Kontrol'!G92="","",'Checklist 93 Kontrol'!G92)</f>
        <v/>
      </c>
      <c r="F92" s="32">
        <f>IF('Checklist 93 Kontrol'!I92="","",'Checklist 93 Kontrol'!I92)</f>
        <v/>
      </c>
      <c r="G92" s="32">
        <f>IF('Checklist 93 Kontrol'!J92="","",'Checklist 93 Kontrol'!J92)</f>
        <v/>
      </c>
      <c r="H92" s="32">
        <f>IF('Checklist 93 Kontrol'!X92="","",'Checklist 93 Kontrol'!X92)</f>
        <v/>
      </c>
      <c r="I92" s="32">
        <f>IF('Checklist 93 Kontrol'!Y92="","",'Checklist 93 Kontrol'!Y92)</f>
        <v/>
      </c>
      <c r="J92" s="32">
        <f>IF('Checklist 93 Kontrol'!L92="","",'Checklist 93 Kontrol'!L92)</f>
        <v/>
      </c>
      <c r="K92" s="32">
        <f>IF('Checklist 93 Kontrol'!S92="","",'Checklist 93 Kontrol'!S92)</f>
        <v/>
      </c>
      <c r="L92" s="15">
        <f>IF('Checklist 93 Kontrol'!T92="","",'Checklist 93 Kontrol'!T92)</f>
        <v/>
      </c>
      <c r="M92" s="32">
        <f>IF('Checklist 93 Kontrol'!Z92="","",'Checklist 93 Kontrol'!Z92)</f>
        <v/>
      </c>
    </row>
    <row r="93" ht="42" customHeight="1">
      <c r="A93" s="1" t="n"/>
      <c r="B93" s="32">
        <f>IF('Checklist 93 Kontrol'!B93="","",'Checklist 93 Kontrol'!B93)</f>
        <v/>
      </c>
      <c r="C93" s="32">
        <f>IF('Checklist 93 Kontrol'!C93="","",'Checklist 93 Kontrol'!C93)</f>
        <v/>
      </c>
      <c r="D93" s="32">
        <f>IF('Checklist 93 Kontrol'!D93="","",'Checklist 93 Kontrol'!D93)</f>
        <v/>
      </c>
      <c r="E93" s="32">
        <f>IF('Checklist 93 Kontrol'!G93="","",'Checklist 93 Kontrol'!G93)</f>
        <v/>
      </c>
      <c r="F93" s="32">
        <f>IF('Checklist 93 Kontrol'!I93="","",'Checklist 93 Kontrol'!I93)</f>
        <v/>
      </c>
      <c r="G93" s="32">
        <f>IF('Checklist 93 Kontrol'!J93="","",'Checklist 93 Kontrol'!J93)</f>
        <v/>
      </c>
      <c r="H93" s="32">
        <f>IF('Checklist 93 Kontrol'!X93="","",'Checklist 93 Kontrol'!X93)</f>
        <v/>
      </c>
      <c r="I93" s="32">
        <f>IF('Checklist 93 Kontrol'!Y93="","",'Checklist 93 Kontrol'!Y93)</f>
        <v/>
      </c>
      <c r="J93" s="32">
        <f>IF('Checklist 93 Kontrol'!L93="","",'Checklist 93 Kontrol'!L93)</f>
        <v/>
      </c>
      <c r="K93" s="32">
        <f>IF('Checklist 93 Kontrol'!S93="","",'Checklist 93 Kontrol'!S93)</f>
        <v/>
      </c>
      <c r="L93" s="15">
        <f>IF('Checklist 93 Kontrol'!T93="","",'Checklist 93 Kontrol'!T93)</f>
        <v/>
      </c>
      <c r="M93" s="32">
        <f>IF('Checklist 93 Kontrol'!Z93="","",'Checklist 93 Kontrol'!Z93)</f>
        <v/>
      </c>
    </row>
    <row r="94" ht="42" customHeight="1">
      <c r="A94" s="1" t="n"/>
      <c r="B94" s="32">
        <f>IF('Checklist 93 Kontrol'!B94="","",'Checklist 93 Kontrol'!B94)</f>
        <v/>
      </c>
      <c r="C94" s="32">
        <f>IF('Checklist 93 Kontrol'!C94="","",'Checklist 93 Kontrol'!C94)</f>
        <v/>
      </c>
      <c r="D94" s="32">
        <f>IF('Checklist 93 Kontrol'!D94="","",'Checklist 93 Kontrol'!D94)</f>
        <v/>
      </c>
      <c r="E94" s="32">
        <f>IF('Checklist 93 Kontrol'!G94="","",'Checklist 93 Kontrol'!G94)</f>
        <v/>
      </c>
      <c r="F94" s="32">
        <f>IF('Checklist 93 Kontrol'!I94="","",'Checklist 93 Kontrol'!I94)</f>
        <v/>
      </c>
      <c r="G94" s="32">
        <f>IF('Checklist 93 Kontrol'!J94="","",'Checklist 93 Kontrol'!J94)</f>
        <v/>
      </c>
      <c r="H94" s="32">
        <f>IF('Checklist 93 Kontrol'!X94="","",'Checklist 93 Kontrol'!X94)</f>
        <v/>
      </c>
      <c r="I94" s="32">
        <f>IF('Checklist 93 Kontrol'!Y94="","",'Checklist 93 Kontrol'!Y94)</f>
        <v/>
      </c>
      <c r="J94" s="32">
        <f>IF('Checklist 93 Kontrol'!L94="","",'Checklist 93 Kontrol'!L94)</f>
        <v/>
      </c>
      <c r="K94" s="32">
        <f>IF('Checklist 93 Kontrol'!S94="","",'Checklist 93 Kontrol'!S94)</f>
        <v/>
      </c>
      <c r="L94" s="15">
        <f>IF('Checklist 93 Kontrol'!T94="","",'Checklist 93 Kontrol'!T94)</f>
        <v/>
      </c>
      <c r="M94" s="32">
        <f>IF('Checklist 93 Kontrol'!Z94="","",'Checklist 93 Kontrol'!Z94)</f>
        <v/>
      </c>
    </row>
    <row r="95" ht="42" customHeight="1">
      <c r="A95" s="1" t="n"/>
      <c r="B95" s="32">
        <f>IF('Checklist 93 Kontrol'!B95="","",'Checklist 93 Kontrol'!B95)</f>
        <v/>
      </c>
      <c r="C95" s="32">
        <f>IF('Checklist 93 Kontrol'!C95="","",'Checklist 93 Kontrol'!C95)</f>
        <v/>
      </c>
      <c r="D95" s="32">
        <f>IF('Checklist 93 Kontrol'!D95="","",'Checklist 93 Kontrol'!D95)</f>
        <v/>
      </c>
      <c r="E95" s="32">
        <f>IF('Checklist 93 Kontrol'!G95="","",'Checklist 93 Kontrol'!G95)</f>
        <v/>
      </c>
      <c r="F95" s="32">
        <f>IF('Checklist 93 Kontrol'!I95="","",'Checklist 93 Kontrol'!I95)</f>
        <v/>
      </c>
      <c r="G95" s="32">
        <f>IF('Checklist 93 Kontrol'!J95="","",'Checklist 93 Kontrol'!J95)</f>
        <v/>
      </c>
      <c r="H95" s="32">
        <f>IF('Checklist 93 Kontrol'!X95="","",'Checklist 93 Kontrol'!X95)</f>
        <v/>
      </c>
      <c r="I95" s="32">
        <f>IF('Checklist 93 Kontrol'!Y95="","",'Checklist 93 Kontrol'!Y95)</f>
        <v/>
      </c>
      <c r="J95" s="32">
        <f>IF('Checklist 93 Kontrol'!L95="","",'Checklist 93 Kontrol'!L95)</f>
        <v/>
      </c>
      <c r="K95" s="32">
        <f>IF('Checklist 93 Kontrol'!S95="","",'Checklist 93 Kontrol'!S95)</f>
        <v/>
      </c>
      <c r="L95" s="15">
        <f>IF('Checklist 93 Kontrol'!T95="","",'Checklist 93 Kontrol'!T95)</f>
        <v/>
      </c>
      <c r="M95" s="32">
        <f>IF('Checklist 93 Kontrol'!Z95="","",'Checklist 93 Kontrol'!Z95)</f>
        <v/>
      </c>
    </row>
    <row r="96" ht="42" customHeight="1">
      <c r="A96" s="1" t="n"/>
      <c r="B96" s="32">
        <f>IF('Checklist 93 Kontrol'!B96="","",'Checklist 93 Kontrol'!B96)</f>
        <v/>
      </c>
      <c r="C96" s="32">
        <f>IF('Checklist 93 Kontrol'!C96="","",'Checklist 93 Kontrol'!C96)</f>
        <v/>
      </c>
      <c r="D96" s="32">
        <f>IF('Checklist 93 Kontrol'!D96="","",'Checklist 93 Kontrol'!D96)</f>
        <v/>
      </c>
      <c r="E96" s="32">
        <f>IF('Checklist 93 Kontrol'!G96="","",'Checklist 93 Kontrol'!G96)</f>
        <v/>
      </c>
      <c r="F96" s="32">
        <f>IF('Checklist 93 Kontrol'!I96="","",'Checklist 93 Kontrol'!I96)</f>
        <v/>
      </c>
      <c r="G96" s="32">
        <f>IF('Checklist 93 Kontrol'!J96="","",'Checklist 93 Kontrol'!J96)</f>
        <v/>
      </c>
      <c r="H96" s="32">
        <f>IF('Checklist 93 Kontrol'!X96="","",'Checklist 93 Kontrol'!X96)</f>
        <v/>
      </c>
      <c r="I96" s="32">
        <f>IF('Checklist 93 Kontrol'!Y96="","",'Checklist 93 Kontrol'!Y96)</f>
        <v/>
      </c>
      <c r="J96" s="32">
        <f>IF('Checklist 93 Kontrol'!L96="","",'Checklist 93 Kontrol'!L96)</f>
        <v/>
      </c>
      <c r="K96" s="32">
        <f>IF('Checklist 93 Kontrol'!S96="","",'Checklist 93 Kontrol'!S96)</f>
        <v/>
      </c>
      <c r="L96" s="15">
        <f>IF('Checklist 93 Kontrol'!T96="","",'Checklist 93 Kontrol'!T96)</f>
        <v/>
      </c>
      <c r="M96" s="32">
        <f>IF('Checklist 93 Kontrol'!Z96="","",'Checklist 93 Kontrol'!Z96)</f>
        <v/>
      </c>
    </row>
    <row r="97" ht="42" customHeight="1">
      <c r="A97" s="1" t="n"/>
      <c r="B97" s="32">
        <f>IF('Checklist 93 Kontrol'!B97="","",'Checklist 93 Kontrol'!B97)</f>
        <v/>
      </c>
      <c r="C97" s="32">
        <f>IF('Checklist 93 Kontrol'!C97="","",'Checklist 93 Kontrol'!C97)</f>
        <v/>
      </c>
      <c r="D97" s="32">
        <f>IF('Checklist 93 Kontrol'!D97="","",'Checklist 93 Kontrol'!D97)</f>
        <v/>
      </c>
      <c r="E97" s="32">
        <f>IF('Checklist 93 Kontrol'!G97="","",'Checklist 93 Kontrol'!G97)</f>
        <v/>
      </c>
      <c r="F97" s="32">
        <f>IF('Checklist 93 Kontrol'!I97="","",'Checklist 93 Kontrol'!I97)</f>
        <v/>
      </c>
      <c r="G97" s="32">
        <f>IF('Checklist 93 Kontrol'!J97="","",'Checklist 93 Kontrol'!J97)</f>
        <v/>
      </c>
      <c r="H97" s="32">
        <f>IF('Checklist 93 Kontrol'!X97="","",'Checklist 93 Kontrol'!X97)</f>
        <v/>
      </c>
      <c r="I97" s="32">
        <f>IF('Checklist 93 Kontrol'!Y97="","",'Checklist 93 Kontrol'!Y97)</f>
        <v/>
      </c>
      <c r="J97" s="32">
        <f>IF('Checklist 93 Kontrol'!L97="","",'Checklist 93 Kontrol'!L97)</f>
        <v/>
      </c>
      <c r="K97" s="32">
        <f>IF('Checklist 93 Kontrol'!S97="","",'Checklist 93 Kontrol'!S97)</f>
        <v/>
      </c>
      <c r="L97" s="15">
        <f>IF('Checklist 93 Kontrol'!T97="","",'Checklist 93 Kontrol'!T97)</f>
        <v/>
      </c>
      <c r="M97" s="32">
        <f>IF('Checklist 93 Kontrol'!Z97="","",'Checklist 93 Kontrol'!Z97)</f>
        <v/>
      </c>
    </row>
    <row r="98" ht="42" customHeight="1">
      <c r="A98" s="1" t="n"/>
      <c r="B98" s="32">
        <f>IF('Checklist 93 Kontrol'!B98="","",'Checklist 93 Kontrol'!B98)</f>
        <v/>
      </c>
      <c r="C98" s="32">
        <f>IF('Checklist 93 Kontrol'!C98="","",'Checklist 93 Kontrol'!C98)</f>
        <v/>
      </c>
      <c r="D98" s="32">
        <f>IF('Checklist 93 Kontrol'!D98="","",'Checklist 93 Kontrol'!D98)</f>
        <v/>
      </c>
      <c r="E98" s="32">
        <f>IF('Checklist 93 Kontrol'!G98="","",'Checklist 93 Kontrol'!G98)</f>
        <v/>
      </c>
      <c r="F98" s="32">
        <f>IF('Checklist 93 Kontrol'!I98="","",'Checklist 93 Kontrol'!I98)</f>
        <v/>
      </c>
      <c r="G98" s="32">
        <f>IF('Checklist 93 Kontrol'!J98="","",'Checklist 93 Kontrol'!J98)</f>
        <v/>
      </c>
      <c r="H98" s="32">
        <f>IF('Checklist 93 Kontrol'!X98="","",'Checklist 93 Kontrol'!X98)</f>
        <v/>
      </c>
      <c r="I98" s="32">
        <f>IF('Checklist 93 Kontrol'!Y98="","",'Checklist 93 Kontrol'!Y98)</f>
        <v/>
      </c>
      <c r="J98" s="32">
        <f>IF('Checklist 93 Kontrol'!L98="","",'Checklist 93 Kontrol'!L98)</f>
        <v/>
      </c>
      <c r="K98" s="32">
        <f>IF('Checklist 93 Kontrol'!S98="","",'Checklist 93 Kontrol'!S98)</f>
        <v/>
      </c>
      <c r="L98" s="15">
        <f>IF('Checklist 93 Kontrol'!T98="","",'Checklist 93 Kontrol'!T98)</f>
        <v/>
      </c>
      <c r="M98" s="32">
        <f>IF('Checklist 93 Kontrol'!Z98="","",'Checklist 93 Kontrol'!Z98)</f>
        <v/>
      </c>
    </row>
    <row r="99" ht="42" customHeight="1">
      <c r="A99" s="1" t="n"/>
      <c r="B99" s="32">
        <f>IF('Checklist 93 Kontrol'!B99="","",'Checklist 93 Kontrol'!B99)</f>
        <v/>
      </c>
      <c r="C99" s="32">
        <f>IF('Checklist 93 Kontrol'!C99="","",'Checklist 93 Kontrol'!C99)</f>
        <v/>
      </c>
      <c r="D99" s="32">
        <f>IF('Checklist 93 Kontrol'!D99="","",'Checklist 93 Kontrol'!D99)</f>
        <v/>
      </c>
      <c r="E99" s="32">
        <f>IF('Checklist 93 Kontrol'!G99="","",'Checklist 93 Kontrol'!G99)</f>
        <v/>
      </c>
      <c r="F99" s="32">
        <f>IF('Checklist 93 Kontrol'!I99="","",'Checklist 93 Kontrol'!I99)</f>
        <v/>
      </c>
      <c r="G99" s="32">
        <f>IF('Checklist 93 Kontrol'!J99="","",'Checklist 93 Kontrol'!J99)</f>
        <v/>
      </c>
      <c r="H99" s="32">
        <f>IF('Checklist 93 Kontrol'!X99="","",'Checklist 93 Kontrol'!X99)</f>
        <v/>
      </c>
      <c r="I99" s="32">
        <f>IF('Checklist 93 Kontrol'!Y99="","",'Checklist 93 Kontrol'!Y99)</f>
        <v/>
      </c>
      <c r="J99" s="32">
        <f>IF('Checklist 93 Kontrol'!L99="","",'Checklist 93 Kontrol'!L99)</f>
        <v/>
      </c>
      <c r="K99" s="32">
        <f>IF('Checklist 93 Kontrol'!S99="","",'Checklist 93 Kontrol'!S99)</f>
        <v/>
      </c>
      <c r="L99" s="15">
        <f>IF('Checklist 93 Kontrol'!T99="","",'Checklist 93 Kontrol'!T99)</f>
        <v/>
      </c>
      <c r="M99" s="32">
        <f>IF('Checklist 93 Kontrol'!Z99="","",'Checklist 93 Kontrol'!Z99)</f>
        <v/>
      </c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</row>
  </sheetData>
  <mergeCells count="2">
    <mergeCell ref="B3:M3"/>
    <mergeCell ref="B2:M2"/>
  </mergeCells>
  <conditionalFormatting sqref="H7:H99">
    <cfRule type="cellIs" priority="1" operator="equal" dxfId="3">
      <formula>"Siap"</formula>
    </cfRule>
    <cfRule type="cellIs" priority="2" operator="equal" dxfId="0">
      <formula>"Belum siap"</formula>
    </cfRule>
  </conditionalFormatting>
  <conditionalFormatting sqref="I7:I99">
    <cfRule type="containsText" priority="3" operator="containsText" dxfId="0" text="Review lewat"/>
  </conditionalFormatting>
  <conditionalFormatting sqref="M7:M99">
    <cfRule type="cellIs" priority="4" operator="equal" dxfId="0">
      <formula>"Ya"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2563EB"/>
    <outlinePr summaryBelow="1" summaryRight="1"/>
    <pageSetUpPr/>
  </sheetPr>
  <dimension ref="A1:H54"/>
  <sheetViews>
    <sheetView showGridLines="0" workbookViewId="0">
      <selection activeCell="A1" sqref="A1"/>
    </sheetView>
  </sheetViews>
  <sheetFormatPr baseColWidth="8" defaultRowHeight="14.25"/>
  <cols>
    <col width="3" customWidth="1" min="1" max="1"/>
    <col width="30" customWidth="1" min="2" max="2"/>
    <col width="65" customWidth="1" min="3" max="3"/>
    <col width="26" customWidth="1" min="5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6" customHeight="1">
      <c r="A2" s="1" t="n"/>
      <c r="B2" s="18" t="inlineStr">
        <is>
          <t>MASTER DATA &amp; DEFINISI</t>
        </is>
      </c>
    </row>
    <row r="3" ht="24.95" customHeight="1">
      <c r="A3" s="1" t="n"/>
      <c r="B3" s="19" t="inlineStr">
        <is>
          <t>Parameter, daftar pilihan, dan metode status checklist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 ht="44.1" customHeight="1">
      <c r="A6" s="1" t="n"/>
      <c r="B6" s="2" t="inlineStr">
        <is>
          <t>Organisasi</t>
        </is>
      </c>
      <c r="C6" s="3" t="inlineStr">
        <is>
          <t>AuditSphere (PT Bina Audita Indonesia / AIFL Services)</t>
        </is>
      </c>
      <c r="D6" s="1" t="n"/>
      <c r="E6" s="28" t="inlineStr">
        <is>
          <t>Relevansi</t>
        </is>
      </c>
      <c r="F6" s="29" t="inlineStr">
        <is>
          <t>Implementasi</t>
        </is>
      </c>
      <c r="G6" s="29" t="inlineStr">
        <is>
          <t>Bukti</t>
        </is>
      </c>
      <c r="H6" s="30" t="inlineStr">
        <is>
          <t>Desain kontrol</t>
        </is>
      </c>
    </row>
    <row r="7">
      <c r="A7" s="1" t="n"/>
      <c r="B7" s="2" t="inlineStr">
        <is>
          <t>Ruang lingkup</t>
        </is>
      </c>
      <c r="C7" s="3" t="inlineStr">
        <is>
          <t>Platform Risk-Based Internal Audit &amp; ERM (auditsphere.app), VPS 202.10.34.166 &amp; Cloud SaaS</t>
        </is>
      </c>
      <c r="D7" s="1" t="n"/>
      <c r="E7" s="1" t="inlineStr">
        <is>
          <t>Belum ditentukan</t>
        </is>
      </c>
      <c r="F7" s="1" t="inlineStr">
        <is>
          <t>Belum diterapkan</t>
        </is>
      </c>
      <c r="G7" s="1" t="inlineStr">
        <is>
          <t>Belum tersedia</t>
        </is>
      </c>
      <c r="H7" s="1" t="inlineStr">
        <is>
          <t>Belum diuji</t>
        </is>
      </c>
    </row>
    <row r="8">
      <c r="A8" s="1" t="n"/>
      <c r="B8" s="2" t="inlineStr">
        <is>
          <t>Pemilik assessment</t>
        </is>
      </c>
      <c r="C8" s="3" t="inlineStr">
        <is>
          <t>Lead Information Security / Dimas (Group Vision)</t>
        </is>
      </c>
      <c r="D8" s="1" t="n"/>
      <c r="E8" s="1" t="inlineStr">
        <is>
          <t>Berlaku</t>
        </is>
      </c>
      <c r="F8" s="1" t="inlineStr">
        <is>
          <t>Dalam proses</t>
        </is>
      </c>
      <c r="G8" s="1" t="inlineStr">
        <is>
          <t>Ada sebagian</t>
        </is>
      </c>
      <c r="H8" s="1" t="inlineStr">
        <is>
          <t>Tidak memadai</t>
        </is>
      </c>
    </row>
    <row r="9">
      <c r="A9" s="1" t="n"/>
      <c r="B9" s="2" t="inlineStr">
        <is>
          <t>Tanggal acuan</t>
        </is>
      </c>
      <c r="C9" s="4" t="n">
        <v>46302</v>
      </c>
      <c r="D9" s="1" t="n"/>
      <c r="E9" s="1" t="inlineStr">
        <is>
          <t>Tidak berlaku</t>
        </is>
      </c>
      <c r="F9" s="1" t="inlineStr">
        <is>
          <t>Diterapkan</t>
        </is>
      </c>
      <c r="G9" s="1" t="inlineStr">
        <is>
          <t>Lengkap</t>
        </is>
      </c>
      <c r="H9" s="1" t="inlineStr">
        <is>
          <t>Perlu perbaikan</t>
        </is>
      </c>
    </row>
    <row r="10">
      <c r="A10" s="1" t="n"/>
      <c r="B10" s="2" t="inlineStr">
        <is>
          <t>Versi template</t>
        </is>
      </c>
      <c r="C10" s="4" t="inlineStr">
        <is>
          <t>v1.0</t>
        </is>
      </c>
      <c r="D10" s="1" t="n"/>
      <c r="E10" s="1" t="n"/>
      <c r="F10" s="1" t="inlineStr">
        <is>
          <t>N/A</t>
        </is>
      </c>
      <c r="G10" s="1" t="inlineStr">
        <is>
          <t>N/A</t>
        </is>
      </c>
      <c r="H10" s="1" t="inlineStr">
        <is>
          <t>Memadai</t>
        </is>
      </c>
    </row>
    <row r="11">
      <c r="A11" s="1" t="n"/>
      <c r="B11" s="2" t="inlineStr">
        <is>
          <t>Review berikutnya</t>
        </is>
      </c>
      <c r="C11" s="4" t="n"/>
      <c r="D11" s="1" t="n"/>
      <c r="E11" s="1" t="n"/>
      <c r="F11" s="1" t="n"/>
      <c r="G11" s="1" t="n"/>
      <c r="H11" s="1" t="inlineStr">
        <is>
          <t>N/A</t>
        </is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</row>
    <row r="15" ht="44.1" customHeight="1">
      <c r="A15" s="1" t="n"/>
      <c r="B15" s="28" t="inlineStr">
        <is>
          <t>Status</t>
        </is>
      </c>
      <c r="C15" s="30" t="inlineStr">
        <is>
          <t>Makna</t>
        </is>
      </c>
      <c r="D15" s="1" t="n"/>
      <c r="E15" s="28" t="inlineStr">
        <is>
          <t>Efektivitas</t>
        </is>
      </c>
      <c r="F15" s="29" t="inlineStr">
        <is>
          <t>Prioritas</t>
        </is>
      </c>
      <c r="G15" s="29" t="inlineStr">
        <is>
          <t>Status hasil</t>
        </is>
      </c>
      <c r="H15" s="30" t="inlineStr">
        <is>
          <t>Tema</t>
        </is>
      </c>
    </row>
    <row r="16" ht="38.1" customHeight="1">
      <c r="A16" s="1" t="n"/>
      <c r="B16" s="8" t="inlineStr">
        <is>
          <t>Belum dinilai</t>
        </is>
      </c>
      <c r="C16" s="8" t="inlineStr">
        <is>
          <t>Relevansi kontrol belum diputuskan.</t>
        </is>
      </c>
      <c r="D16" s="1" t="n"/>
      <c r="E16" s="1" t="inlineStr">
        <is>
          <t>Belum diuji</t>
        </is>
      </c>
      <c r="F16" s="1" t="inlineStr">
        <is>
          <t>Kritis</t>
        </is>
      </c>
      <c r="G16" s="1" t="inlineStr">
        <is>
          <t>Belum dinilai</t>
        </is>
      </c>
      <c r="H16" s="1" t="inlineStr">
        <is>
          <t>Organizational</t>
        </is>
      </c>
    </row>
    <row r="17" ht="38.1" customHeight="1">
      <c r="A17" s="1" t="n"/>
      <c r="B17" s="8" t="inlineStr">
        <is>
          <t>Belum siap</t>
        </is>
      </c>
      <c r="C17" s="8" t="inlineStr">
        <is>
          <t>Kontrol berlaku tetapi penerapan, bukti, pengujian, atau validasinya belum lengkap.</t>
        </is>
      </c>
      <c r="D17" s="1" t="n"/>
      <c r="E17" s="1" t="inlineStr">
        <is>
          <t>Tidak efektif</t>
        </is>
      </c>
      <c r="F17" s="1" t="inlineStr">
        <is>
          <t>Tinggi</t>
        </is>
      </c>
      <c r="G17" s="1" t="inlineStr">
        <is>
          <t>Belum siap</t>
        </is>
      </c>
      <c r="H17" s="1" t="inlineStr">
        <is>
          <t>People</t>
        </is>
      </c>
    </row>
    <row r="18" ht="38.1" customHeight="1">
      <c r="A18" s="1" t="n"/>
      <c r="B18" s="8" t="inlineStr">
        <is>
          <t>Siap</t>
        </is>
      </c>
      <c r="C18" s="8" t="inlineStr">
        <is>
          <t>Kontrol berlaku; diterapkan, didukung bukti lengkap, desain memadai, efektif, dan tervalidasi.</t>
        </is>
      </c>
      <c r="D18" s="1" t="n"/>
      <c r="E18" s="1" t="inlineStr">
        <is>
          <t>Sebagian efektif</t>
        </is>
      </c>
      <c r="F18" s="1" t="inlineStr">
        <is>
          <t>Sedang</t>
        </is>
      </c>
      <c r="G18" s="1" t="inlineStr">
        <is>
          <t>Siap</t>
        </is>
      </c>
      <c r="H18" s="1" t="inlineStr">
        <is>
          <t>Physical</t>
        </is>
      </c>
    </row>
    <row r="19" ht="38.1" customHeight="1">
      <c r="A19" s="1" t="n"/>
      <c r="B19" s="8" t="inlineStr">
        <is>
          <t>Dikecualikan</t>
        </is>
      </c>
      <c r="C19" s="8" t="inlineStr">
        <is>
          <t>Kontrol tidak berlaku dengan justifikasi dan validasi yang tercatat.</t>
        </is>
      </c>
      <c r="D19" s="1" t="n"/>
      <c r="E19" s="1" t="inlineStr">
        <is>
          <t>Efektif</t>
        </is>
      </c>
      <c r="F19" s="1" t="inlineStr">
        <is>
          <t>Rendah</t>
        </is>
      </c>
      <c r="G19" s="1" t="inlineStr">
        <is>
          <t>Dikecualikan</t>
        </is>
      </c>
      <c r="H19" s="1" t="inlineStr">
        <is>
          <t>Technological</t>
        </is>
      </c>
    </row>
    <row r="20" ht="38.1" customHeight="1">
      <c r="A20" s="1" t="n"/>
      <c r="B20" s="8" t="inlineStr">
        <is>
          <t>Review lewat</t>
        </is>
      </c>
      <c r="C20" s="8" t="inlineStr">
        <is>
          <t>Tanggal review berikutnya lebih awal daripada tanggal acuan.</t>
        </is>
      </c>
      <c r="D20" s="1" t="n"/>
      <c r="E20" s="1" t="inlineStr">
        <is>
          <t>N/A</t>
        </is>
      </c>
      <c r="F20" s="1" t="n"/>
      <c r="G20" s="1" t="n"/>
      <c r="H20" s="1" t="n"/>
    </row>
    <row r="21" ht="38.1" customHeight="1">
      <c r="A21" s="1" t="n"/>
      <c r="B21" s="8" t="inlineStr">
        <is>
          <t>Perlu tindakan</t>
        </is>
      </c>
      <c r="C21" s="8" t="inlineStr">
        <is>
          <t>Assessment selesai tetapi masih ada gap atau jadwal review bermasalah.</t>
        </is>
      </c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54.95" customHeight="1">
      <c r="A24" s="1" t="n"/>
      <c r="B24" s="2" t="inlineStr">
        <is>
          <t>Metode</t>
        </is>
      </c>
      <c r="C24" s="31" t="inlineStr">
        <is>
          <t>Status adalah pemeriksaan kelengkapan internal, bukan opini auditor. Kontrol tidak berlaku tetap memerlukan justifikasi, reviewer, tanggal validasi, dan jadwal review.</t>
        </is>
      </c>
      <c r="D24" s="1" t="n"/>
      <c r="E24" s="1" t="n"/>
      <c r="F24" s="1" t="n"/>
      <c r="G24" s="1" t="n"/>
      <c r="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 ht="54.95" customHeight="1">
      <c r="A27" s="1" t="n"/>
      <c r="B27" s="1" t="inlineStr">
        <is>
          <t>Referensi</t>
        </is>
      </c>
      <c r="C27" s="8" t="inlineStr">
        <is>
          <t>Gunakan bersama salinan standar ISO/IEC 27001:2022 yang berlisensi dan Statement of Applicability organisasi. Deskripsi pada workbook adalah ringkasan kerja, bukan salinan teks standar.</t>
        </is>
      </c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</row>
  </sheetData>
  <mergeCells count="2">
    <mergeCell ref="B3:H3"/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2026-09-26T02:09:07Z</dcterms:created>
  <dcterms:modified xmlns:dcterms="http://purl.org/dc/terms/" xmlns:xsi="http://www.w3.org/2001/XMLSchema-instance" xsi:type="dcterms:W3CDTF">2026-10-07T13:25:37Z</dcterms:modified>
  <cp:lastModifiedBy>USER</cp:lastModifiedBy>
</cp:coreProperties>
</file>